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Escenarios" sheetId="3" state="visible" r:id="rId5"/>
    <sheet name="Proyección Base" sheetId="4" state="visible" r:id="rId6"/>
    <sheet name="Proyección Conservad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<sst xmlns="http://schemas.openxmlformats.org/spreadsheetml/2006/main" count="368" uniqueCount="244">
  <si>
    <t xml:space="preserve">Licita – Resumen del modelo financiero: Base vs Conservador</t>
  </si>
  <si>
    <t xml:space="preserve">Cifras en CLP sin IVA. Edite supuestos en 'Supuestos' y 'Escenarios'; esta hoja se actualiza sola.</t>
  </si>
  <si>
    <t xml:space="preserve">Estado de resultados</t>
  </si>
  <si>
    <t xml:space="preserve">Base Año 1</t>
  </si>
  <si>
    <t xml:space="preserve">Base Año 2</t>
  </si>
  <si>
    <t xml:space="preserve">Conservador Año 1</t>
  </si>
  <si>
    <t xml:space="preserve">Conservador Año 2</t>
  </si>
  <si>
    <t xml:space="preserve">Diferencia 24 meses (Cons. − Base)</t>
  </si>
  <si>
    <t xml:space="preserve">Ingresos netos</t>
  </si>
  <si>
    <t xml:space="preserve">Costos variables</t>
  </si>
  <si>
    <t xml:space="preserve">Margen de contribución</t>
  </si>
  <si>
    <t xml:space="preserve">Costos fijos y de estructura</t>
  </si>
  <si>
    <t xml:space="preserve">EBITDA</t>
  </si>
  <si>
    <t xml:space="preserve">Resultado antes de impuestos</t>
  </si>
  <si>
    <t xml:space="preserve">Margen de contribución %</t>
  </si>
  <si>
    <t xml:space="preserve">Indicador clave</t>
  </si>
  <si>
    <t xml:space="preserve">Base</t>
  </si>
  <si>
    <t xml:space="preserve">Conservador</t>
  </si>
  <si>
    <t xml:space="preserve">Nota</t>
  </si>
  <si>
    <t xml:space="preserve">Clientes activos al mes 12</t>
  </si>
  <si>
    <t xml:space="preserve">Clientes activos al mes 24</t>
  </si>
  <si>
    <t xml:space="preserve">MRR neto al mes 12</t>
  </si>
  <si>
    <t xml:space="preserve">Ingreso mensual recurrente sin IVA.</t>
  </si>
  <si>
    <t xml:space="preserve">MRR neto al mes 24</t>
  </si>
  <si>
    <t xml:space="preserve">ARR al mes 24</t>
  </si>
  <si>
    <t xml:space="preserve">Contribución promedio por cliente (mes 24)</t>
  </si>
  <si>
    <t xml:space="preserve">Primer mes con EBITDA ≥ 0</t>
  </si>
  <si>
    <t xml:space="preserve">Puede volver a negativo cuando empiezan los sueldos; ver 'Meses con EBITDA negativo'.</t>
  </si>
  <si>
    <t xml:space="preserve">Meses con EBITDA negativo (de 24)</t>
  </si>
  <si>
    <t xml:space="preserve">Pérdida acumulada máxima (necesidad de caja aprox.)</t>
  </si>
  <si>
    <t xml:space="preserve">Aproximación: no considera desfase de pagos anuales ni IVA.</t>
  </si>
  <si>
    <t xml:space="preserve">Resultado acumulado al mes 24</t>
  </si>
  <si>
    <t xml:space="preserve">Clientes para cubrir costos fijos de lanzamiento (sin sueldos ni marketing)</t>
  </si>
  <si>
    <t xml:space="preserve">Costo fijo de lanzamiento ÷ contribución promedio por cliente.</t>
  </si>
  <si>
    <t xml:space="preserve">Supuestos que cambian entre escenarios</t>
  </si>
  <si>
    <t xml:space="preserve">Nuevos clientes en el mes 1</t>
  </si>
  <si>
    <t xml:space="preserve">Crecimiento mensual de nuevos clientes</t>
  </si>
  <si>
    <t xml:space="preserve">Fuga mensual (churn)</t>
  </si>
  <si>
    <t xml:space="preserve">% Pro</t>
  </si>
  <si>
    <t xml:space="preserve">% que paga anual</t>
  </si>
  <si>
    <t xml:space="preserve">CAC</t>
  </si>
  <si>
    <t xml:space="preserve">Advertencias</t>
  </si>
  <si>
    <t xml:space="preserve">• Modelo de resultados (devengado), no de caja: los pagos anuales entran por adelantado en caja.</t>
  </si>
  <si>
    <t xml:space="preserve">• No incluye impuesto a la renta. Consultar régimen tributario (Pro Pyme) con contador.</t>
  </si>
  <si>
    <t xml:space="preserve">• Tarifas de WhatsApp, pasarela, contador y servicios son estimaciones; cotizar antes de decidir.</t>
  </si>
  <si>
    <t xml:space="preserve">• Precios de la IA: lista oficial de Anthropic (sept-2026); el uso por cliente es una estimación a validar en el piloto.</t>
  </si>
  <si>
    <t xml:space="preserve">Licita – Modelo financiero: Supuestos</t>
  </si>
  <si>
    <t xml:space="preserve">Cómo usar: edite solo las celdas en AZUL con fondo amarillo (supuestos). Las celdas negras son fórmulas. Montos en CLP salvo que se indique USD.</t>
  </si>
  <si>
    <t xml:space="preserve">Colores: azul = dato de entrada · negro = fórmula · verde = vínculo a otra hoja.</t>
  </si>
  <si>
    <t xml:space="preserve">1. General</t>
  </si>
  <si>
    <t xml:space="preserve">Valor</t>
  </si>
  <si>
    <t xml:space="preserve">Unidad</t>
  </si>
  <si>
    <t xml:space="preserve">Nota / fuente</t>
  </si>
  <si>
    <t xml:space="preserve">Tipo de cambio</t>
  </si>
  <si>
    <t xml:space="preserve">CLP/USD</t>
  </si>
  <si>
    <t xml:space="preserve">Estimación oct-2026; actualizar con dólar observado (Banco Central).</t>
  </si>
  <si>
    <t xml:space="preserve">IVA</t>
  </si>
  <si>
    <t xml:space="preserve">%</t>
  </si>
  <si>
    <t xml:space="preserve">Tasa IVA Chile.</t>
  </si>
  <si>
    <t xml:space="preserve">2. Precios de lista (con IVA)</t>
  </si>
  <si>
    <t xml:space="preserve">Plan Pyme – mensual</t>
  </si>
  <si>
    <t xml:space="preserve">CLP/mes</t>
  </si>
  <si>
    <t xml:space="preserve">Definido en la conversación.</t>
  </si>
  <si>
    <t xml:space="preserve">Plan Pro – mensual</t>
  </si>
  <si>
    <t xml:space="preserve">Plan Pro – precio fundador</t>
  </si>
  <si>
    <t xml:space="preserve">Precio congelado de por vida para los primeros clientes Pro.</t>
  </si>
  <si>
    <t xml:space="preserve">Cupos precio fundador</t>
  </si>
  <si>
    <t xml:space="preserve">clientes</t>
  </si>
  <si>
    <t xml:space="preserve">Simplificación: los primeros N clientes Pro activos pagan precio fundador.</t>
  </si>
  <si>
    <t xml:space="preserve">Plan Consultoras – por empresa gestionada</t>
  </si>
  <si>
    <t xml:space="preserve">CLP/empresa/mes</t>
  </si>
  <si>
    <t xml:space="preserve">Mínimo 5 empresas.</t>
  </si>
  <si>
    <t xml:space="preserve">Empresas promedio por consultora</t>
  </si>
  <si>
    <t xml:space="preserve">empresas</t>
  </si>
  <si>
    <t xml:space="preserve">Descuento pago anual</t>
  </si>
  <si>
    <t xml:space="preserve">Definido por el usuario: descuento pequeño.</t>
  </si>
  <si>
    <t xml:space="preserve">Precio anual Pyme (con IVA)</t>
  </si>
  <si>
    <t xml:space="preserve">CLP/año</t>
  </si>
  <si>
    <t xml:space="preserve">Ajustado a $215.890 para que el IVA calculado por el SII cuadre exacto.</t>
  </si>
  <si>
    <t xml:space="preserve">Precio anual Pro (con IVA)</t>
  </si>
  <si>
    <t xml:space="preserve">Precio anual Pro fundador (con IVA)</t>
  </si>
  <si>
    <t xml:space="preserve">Precio neto de lista Pyme (sin IVA)</t>
  </si>
  <si>
    <t xml:space="preserve">CLP/cliente/mes</t>
  </si>
  <si>
    <t xml:space="preserve">Precio neto de lista Pro (sin IVA)</t>
  </si>
  <si>
    <t xml:space="preserve">Precio neto de lista Pro fundador (sin IVA)</t>
  </si>
  <si>
    <t xml:space="preserve">Precio neto de lista Consultoras por empresa (sin IVA)</t>
  </si>
  <si>
    <t xml:space="preserve">3. Crecimiento, mezcla de planes, pago anual y CAC</t>
  </si>
  <si>
    <t xml:space="preserve">Estos supuestos varían por escenario: edítelos en la hoja Escenarios.</t>
  </si>
  <si>
    <t xml:space="preserve">4. Inteligencia artificial (API de Claude)</t>
  </si>
  <si>
    <t xml:space="preserve">Haiku 4.5 – entrada</t>
  </si>
  <si>
    <t xml:space="preserve">USD/millón tokens</t>
  </si>
  <si>
    <t xml:space="preserve">Precio de lista Anthropic (sept-2026).</t>
  </si>
  <si>
    <t xml:space="preserve">Haiku 4.5 – salida</t>
  </si>
  <si>
    <t xml:space="preserve">Sonnet 5.5 – entrada</t>
  </si>
  <si>
    <t xml:space="preserve">Sonnet 5.5 – salida</t>
  </si>
  <si>
    <t xml:space="preserve">Sonnet 5.5 – lectura de caché</t>
  </si>
  <si>
    <t xml:space="preserve">Descuento Batch API</t>
  </si>
  <si>
    <t xml:space="preserve">Procesamiento nocturno por lotes.</t>
  </si>
  <si>
    <t xml:space="preserve">Tokens de un PDF de bases</t>
  </si>
  <si>
    <t xml:space="preserve">tokens</t>
  </si>
  <si>
    <t xml:space="preserve">Estimación: ~60 páginas.</t>
  </si>
  <si>
    <t xml:space="preserve">Tokens de salida por análisis</t>
  </si>
  <si>
    <t xml:space="preserve">Estimación.</t>
  </si>
  <si>
    <t xml:space="preserve">Tokens de salida por pregunta</t>
  </si>
  <si>
    <t xml:space="preserve">Tokens de salida por borrador de oferta</t>
  </si>
  <si>
    <t xml:space="preserve">Tokens de entrada filtro diario (por usuario)</t>
  </si>
  <si>
    <t xml:space="preserve">Perfil + ~20 licitaciones candidatas.</t>
  </si>
  <si>
    <t xml:space="preserve">Tokens de salida filtro diario</t>
  </si>
  <si>
    <t xml:space="preserve">% de análisis reutilizados entre usuarios</t>
  </si>
  <si>
    <t xml:space="preserve">Una licitación analizada se sirve a varios usuarios.</t>
  </si>
  <si>
    <t xml:space="preserve">Costo por análisis de bases (Sonnet)</t>
  </si>
  <si>
    <t xml:space="preserve">USD</t>
  </si>
  <si>
    <t xml:space="preserve">Costo por pregunta (Sonnet + caché)</t>
  </si>
  <si>
    <t xml:space="preserve">Costo por borrador (Sonnet + caché)</t>
  </si>
  <si>
    <t xml:space="preserve">Costo filtro diario por usuario (Haiku)</t>
  </si>
  <si>
    <t xml:space="preserve">USD/día</t>
  </si>
  <si>
    <t xml:space="preserve">Análisis por mes – Pyme</t>
  </si>
  <si>
    <t xml:space="preserve">análisis</t>
  </si>
  <si>
    <t xml:space="preserve">Límite de uso justo sugerido: 15.</t>
  </si>
  <si>
    <t xml:space="preserve">Análisis por mes – Pro / empresa consultora</t>
  </si>
  <si>
    <t xml:space="preserve">Límite de uso justo sugerido: 50.</t>
  </si>
  <si>
    <t xml:space="preserve">Preguntas por mes – Pyme</t>
  </si>
  <si>
    <t xml:space="preserve">preguntas</t>
  </si>
  <si>
    <t xml:space="preserve">Preguntas por mes – Pro / empresa consultora</t>
  </si>
  <si>
    <t xml:space="preserve">Borradores por mes – Pro / empresa consultora</t>
  </si>
  <si>
    <t xml:space="preserve">borradores</t>
  </si>
  <si>
    <t xml:space="preserve">Pyme no incluye borradores.</t>
  </si>
  <si>
    <t xml:space="preserve">Costo IA por cliente Pyme</t>
  </si>
  <si>
    <t xml:space="preserve">Costo IA por cliente Pro (y por empresa de consultora)</t>
  </si>
  <si>
    <t xml:space="preserve">Conservador: cada empresa de una consultora usa como un cliente Pro.</t>
  </si>
  <si>
    <t xml:space="preserve">5. WhatsApp y pasarela de pago</t>
  </si>
  <si>
    <t xml:space="preserve">Precio mensaje plantilla 'utility' Chile</t>
  </si>
  <si>
    <t xml:space="preserve">USD/mensaje</t>
  </si>
  <si>
    <t xml:space="preserve">Aprox. tarifa Meta; verificar tabla oficial vigente.</t>
  </si>
  <si>
    <t xml:space="preserve">Resúmenes diarios por mes</t>
  </si>
  <si>
    <t xml:space="preserve">mensajes</t>
  </si>
  <si>
    <t xml:space="preserve">Días hábiles.</t>
  </si>
  <si>
    <t xml:space="preserve">Alertas urgentes Compra Ágil por mes (Pro)</t>
  </si>
  <si>
    <t xml:space="preserve">Respuestas dentro de ventana de 24h son gratis.</t>
  </si>
  <si>
    <t xml:space="preserve">Costo WhatsApp por cliente Pyme</t>
  </si>
  <si>
    <t xml:space="preserve">Costo WhatsApp por cliente Pro (y por empresa de consultora)</t>
  </si>
  <si>
    <t xml:space="preserve">Comisión pasarela de pago (sobre monto bruto)</t>
  </si>
  <si>
    <t xml:space="preserve">Aprox. Flow / Mercado Pago; cotizar. El IVA de la comisión es crédito fiscal.</t>
  </si>
  <si>
    <t xml:space="preserve">6. Costos fijos mensuales (CLP)</t>
  </si>
  <si>
    <t xml:space="preserve">Lanzamiento</t>
  </si>
  <si>
    <t xml:space="preserve">Escala</t>
  </si>
  <si>
    <t xml:space="preserve">Clientes activos en que se alcanza el costo 'Escala'</t>
  </si>
  <si>
    <t xml:space="preserve">Entre 0 y este valor, el costo fijo se interpola linealmente.</t>
  </si>
  <si>
    <t xml:space="preserve">Hosting, base de datos y almacenamiento de PDF</t>
  </si>
  <si>
    <t xml:space="preserve">Estimación (~US$80 → ~US$400).</t>
  </si>
  <si>
    <t xml:space="preserve">Correo transaccional</t>
  </si>
  <si>
    <t xml:space="preserve">Monitoreo de errores y logs</t>
  </si>
  <si>
    <t xml:space="preserve">Dominios (.cl + .com, prorrateado)</t>
  </si>
  <si>
    <t xml:space="preserve">NIC Chile ~$10.000/año + .com.</t>
  </si>
  <si>
    <t xml:space="preserve">Google Workspace</t>
  </si>
  <si>
    <t xml:space="preserve">2 → 5 usuarios aprox.</t>
  </si>
  <si>
    <t xml:space="preserve">Herramientas (GitHub, soporte por chat, diseño, etc.)</t>
  </si>
  <si>
    <t xml:space="preserve">Servicio de factura electrónica</t>
  </si>
  <si>
    <t xml:space="preserve">Estimación; cotizar (OpenFactura, Bsale, LibreDTE).</t>
  </si>
  <si>
    <t xml:space="preserve">Contador (SpA)</t>
  </si>
  <si>
    <t xml:space="preserve">Estimación; cotizar.</t>
  </si>
  <si>
    <t xml:space="preserve">Subtotal infraestructura y software – lanzamiento</t>
  </si>
  <si>
    <t xml:space="preserve">Subtotal infraestructura y software – escala</t>
  </si>
  <si>
    <t xml:space="preserve">Subtotal administración – lanzamiento</t>
  </si>
  <si>
    <t xml:space="preserve">Subtotal administración – escala</t>
  </si>
  <si>
    <t xml:space="preserve">7. IA fija: clasificación de todas las licitaciones</t>
  </si>
  <si>
    <t xml:space="preserve">Licitaciones nuevas por día</t>
  </si>
  <si>
    <t xml:space="preserve">licitaciones</t>
  </si>
  <si>
    <t xml:space="preserve">Estimación 1.000–1.500; validar con la API.</t>
  </si>
  <si>
    <t xml:space="preserve">Tokens de entrada por clasificación</t>
  </si>
  <si>
    <t xml:space="preserve">Metadatos + descripción.</t>
  </si>
  <si>
    <t xml:space="preserve">Tokens de salida por clasificación</t>
  </si>
  <si>
    <t xml:space="preserve">Costo IA fija mensual</t>
  </si>
  <si>
    <t xml:space="preserve">No crece con el número de usuarios.</t>
  </si>
  <si>
    <t xml:space="preserve">8. Marketing, sueldos, costos únicos y depreciación</t>
  </si>
  <si>
    <t xml:space="preserve">Sueldos / retiro fundadores</t>
  </si>
  <si>
    <t xml:space="preserve">Supuesto; ajustar.</t>
  </si>
  <si>
    <t xml:space="preserve">Mes desde el que se pagan sueldos</t>
  </si>
  <si>
    <t xml:space="preserve">mes</t>
  </si>
  <si>
    <t xml:space="preserve">Costo único: abogado (términos, privacidad Ley 21.719)</t>
  </si>
  <si>
    <t xml:space="preserve">CLP</t>
  </si>
  <si>
    <t xml:space="preserve">Se registra en el mes 1. Estimación $300.000–800.000.</t>
  </si>
  <si>
    <t xml:space="preserve">Valor de equipos (notebook, etc.)</t>
  </si>
  <si>
    <t xml:space="preserve">Vida útil para depreciación</t>
  </si>
  <si>
    <t xml:space="preserve">meses</t>
  </si>
  <si>
    <t xml:space="preserve">Depreciación acelerada SII equipos computacionales (2 años); normal 6 años. Confirmar con contador.</t>
  </si>
  <si>
    <t xml:space="preserve">Depreciación mensual</t>
  </si>
  <si>
    <t xml:space="preserve">Licita – Escenarios</t>
  </si>
  <si>
    <t xml:space="preserve">Edite las celdas azules con fondo amarillo. Cada escenario tiene su propia hoja de proyección y ambos se comparan en Resumen.</t>
  </si>
  <si>
    <t xml:space="preserve">Supuesto</t>
  </si>
  <si>
    <t xml:space="preserve">Nuevos clientes pagados en el mes 1</t>
  </si>
  <si>
    <t xml:space="preserve">Base: piloto exitoso. Conservador: la mitad.</t>
  </si>
  <si>
    <t xml:space="preserve">Fuga mensual de clientes (churn)</t>
  </si>
  <si>
    <t xml:space="preserve">SaaS pyme típico 3–7%. Conservador: venta estacional al Estado.</t>
  </si>
  <si>
    <t xml:space="preserve">Mezcla: % Pyme</t>
  </si>
  <si>
    <t xml:space="preserve">Mezcla: % Pro</t>
  </si>
  <si>
    <t xml:space="preserve">Mezcla: % Consultoras</t>
  </si>
  <si>
    <t xml:space="preserve">Resto hasta 100%.</t>
  </si>
  <si>
    <t xml:space="preserve">% de clientes que paga anual</t>
  </si>
  <si>
    <t xml:space="preserve">El ingreso anual se prorratea mes a mes (devengado).</t>
  </si>
  <si>
    <t xml:space="preserve">Costo de adquisición por cliente nuevo (CAC)</t>
  </si>
  <si>
    <t xml:space="preserve">Publicidad, contenido, webinars. Conservador: canales más caros.</t>
  </si>
  <si>
    <t xml:space="preserve">Factor de ingreso por pago anual (calculado)</t>
  </si>
  <si>
    <t xml:space="preserve">1 − % anual × descuento anual (hoja Supuestos).</t>
  </si>
  <si>
    <t xml:space="preserve">Licita – Proyección mensual a 24 meses – Escenario Base (CLP, sin IVA)</t>
  </si>
  <si>
    <t xml:space="preserve">Todas las celdas son fórmulas vinculadas a Supuestos y Escenarios. No editar aquí. Ingresos devengados (pagos anuales prorrateados).</t>
  </si>
  <si>
    <t xml:space="preserve">Mes</t>
  </si>
  <si>
    <t xml:space="preserve">Año</t>
  </si>
  <si>
    <t xml:space="preserve">Clientes</t>
  </si>
  <si>
    <t xml:space="preserve">Nuevos clientes pagados</t>
  </si>
  <si>
    <t xml:space="preserve">Clientes activos (total)</t>
  </si>
  <si>
    <t xml:space="preserve">  Pyme</t>
  </si>
  <si>
    <t xml:space="preserve">  Pro (total)</t>
  </si>
  <si>
    <t xml:space="preserve">    Pro a precio fundador</t>
  </si>
  <si>
    <t xml:space="preserve">    Pro a precio regular</t>
  </si>
  <si>
    <t xml:space="preserve">  Consultoras</t>
  </si>
  <si>
    <t xml:space="preserve">    Empresas gestionadas por consultoras</t>
  </si>
  <si>
    <t xml:space="preserve">Ingresos netos (sin IVA)</t>
  </si>
  <si>
    <t xml:space="preserve">Ingresos Pyme</t>
  </si>
  <si>
    <t xml:space="preserve">Ingresos Pro fundador</t>
  </si>
  <si>
    <t xml:space="preserve">Ingresos Pro regular</t>
  </si>
  <si>
    <t xml:space="preserve">Ingresos Consultoras</t>
  </si>
  <si>
    <t xml:space="preserve">Total ingresos (MRR neto)</t>
  </si>
  <si>
    <t xml:space="preserve">IA por usuario (análisis, preguntas, borradores, filtro)</t>
  </si>
  <si>
    <t xml:space="preserve">WhatsApp</t>
  </si>
  <si>
    <t xml:space="preserve">Comisión pasarela de pago</t>
  </si>
  <si>
    <t xml:space="preserve">Total costos variables</t>
  </si>
  <si>
    <t xml:space="preserve">  Margen de contribución %</t>
  </si>
  <si>
    <t xml:space="preserve">Factor de escala (0 = lanzamiento, 1 = escala)</t>
  </si>
  <si>
    <t xml:space="preserve">Infraestructura y software</t>
  </si>
  <si>
    <t xml:space="preserve">IA fija (clasificación de licitaciones)</t>
  </si>
  <si>
    <t xml:space="preserve">Administración (contador, factura electrónica)</t>
  </si>
  <si>
    <t xml:space="preserve">Marketing (CAC × nuevos clientes)</t>
  </si>
  <si>
    <t xml:space="preserve">Costos únicos (legal)</t>
  </si>
  <si>
    <t xml:space="preserve">Total costos fijos y de estructura</t>
  </si>
  <si>
    <t xml:space="preserve">Resultado</t>
  </si>
  <si>
    <t xml:space="preserve">Depreciación</t>
  </si>
  <si>
    <t xml:space="preserve">Resultado acumulado</t>
  </si>
  <si>
    <t xml:space="preserve">Indicadores</t>
  </si>
  <si>
    <t xml:space="preserve">ARR (ingreso anualizado)</t>
  </si>
  <si>
    <t xml:space="preserve">Ingreso promedio por cliente</t>
  </si>
  <si>
    <t xml:space="preserve">Contribución promedio por cliente</t>
  </si>
  <si>
    <t xml:space="preserve">EBITDA ≥ 0 (1 = sí)</t>
  </si>
  <si>
    <t xml:space="preserve">Licita – Proyección mensual a 24 meses – Escenario Conservador (CLP, sin IVA)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</si>
</sst>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&quot;US$&quot;#,##0.000;&quot;(US$&quot;#,##0.000\);\-"/>
    <numFmt numFmtId="169" formatCode="0.000"/>
    <numFmt numFmtId="17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7"/>
    <col collapsed="false" customWidth="true" hidden="false" outlineLevel="0" max="7" min="7" style="1" width="55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3"/>
    </row>
    <row r="5" customFormat="false" ht="15" hidden="false" customHeight="true" outlineLevel="0" collapsed="false">
      <c r="A5" s="7" t="s">
        <v>8</v>
      </c>
      <c r="B5" s="8" t="n">
        <f aca="false">SUM('Proyección Base'!C22:N22)</f>
        <v>29048799.3931218</v>
      </c>
      <c r="C5" s="8" t="n">
        <f aca="false">SUM('Proyección Base'!O22:Z22)</f>
        <v>167134562.132103</v>
      </c>
      <c r="D5" s="8" t="n">
        <f aca="false">SUM('Proyección Conservador'!C22:N22)</f>
        <v>10745136.2730461</v>
      </c>
      <c r="E5" s="8" t="n">
        <f aca="false">SUM('Proyección Conservador'!O22:Z22)</f>
        <v>41724687.5305303</v>
      </c>
      <c r="F5" s="9" t="n">
        <f aca="false">(D5+E5)-(B5+C5)</f>
        <v>-143713537.721648</v>
      </c>
      <c r="G5" s="3"/>
    </row>
    <row r="6" customFormat="false" ht="15" hidden="false" customHeight="true" outlineLevel="0" collapsed="false">
      <c r="A6" s="7" t="s">
        <v>9</v>
      </c>
      <c r="B6" s="8" t="n">
        <f aca="false">SUM('Proyección Base'!C28:N28)</f>
        <v>5721836.52016743</v>
      </c>
      <c r="C6" s="8" t="n">
        <f aca="false">SUM('Proyección Base'!O28:Z28)</f>
        <v>32304027.0440197</v>
      </c>
      <c r="D6" s="8" t="n">
        <f aca="false">SUM('Proyección Conservador'!C28:N28)</f>
        <v>2046390.56252108</v>
      </c>
      <c r="E6" s="8" t="n">
        <f aca="false">SUM('Proyección Conservador'!O28:Z28)</f>
        <v>7946386.58988481</v>
      </c>
      <c r="F6" s="9" t="n">
        <f aca="false">(D6+E6)-(B6+C6)</f>
        <v>-28033086.4117812</v>
      </c>
      <c r="G6" s="3"/>
    </row>
    <row r="7" customFormat="false" ht="15" hidden="false" customHeight="true" outlineLevel="0" collapsed="false">
      <c r="A7" s="7" t="s">
        <v>10</v>
      </c>
      <c r="B7" s="8" t="n">
        <f aca="false">SUM('Proyección Base'!C29:N29)</f>
        <v>23326962.8729543</v>
      </c>
      <c r="C7" s="8" t="n">
        <f aca="false">SUM('Proyección Base'!O29:Z29)</f>
        <v>134830535.088083</v>
      </c>
      <c r="D7" s="8" t="n">
        <f aca="false">SUM('Proyección Conservador'!C29:N29)</f>
        <v>8698745.71052498</v>
      </c>
      <c r="E7" s="8" t="n">
        <f aca="false">SUM('Proyección Conservador'!O29:Z29)</f>
        <v>33778300.9406455</v>
      </c>
      <c r="F7" s="9" t="n">
        <f aca="false">(D7+E7)-(B7+C7)</f>
        <v>-115680451.309867</v>
      </c>
      <c r="G7" s="3"/>
    </row>
    <row r="8" customFormat="false" ht="15" hidden="false" customHeight="true" outlineLevel="0" collapsed="false">
      <c r="A8" s="7" t="s">
        <v>11</v>
      </c>
      <c r="B8" s="8" t="n">
        <f aca="false">SUM('Proyección Base'!C40:N40)</f>
        <v>20715397.3845493</v>
      </c>
      <c r="C8" s="8" t="n">
        <f aca="false">SUM('Proyección Base'!O40:Z40)</f>
        <v>49693792.8520342</v>
      </c>
      <c r="D8" s="8" t="n">
        <f aca="false">SUM('Proyección Conservador'!C40:N40)</f>
        <v>18071065.3602398</v>
      </c>
      <c r="E8" s="8" t="n">
        <f aca="false">SUM('Proyección Conservador'!O40:Z40)</f>
        <v>33000985.7604877</v>
      </c>
      <c r="F8" s="9" t="n">
        <f aca="false">(D8+E8)-(B8+C8)</f>
        <v>-19337139.115856</v>
      </c>
      <c r="G8" s="3"/>
    </row>
    <row r="9" customFormat="false" ht="15" hidden="false" customHeight="true" outlineLevel="0" collapsed="false">
      <c r="A9" s="7" t="s">
        <v>12</v>
      </c>
      <c r="B9" s="8" t="n">
        <f aca="false">SUM('Proyección Base'!C43:N43)</f>
        <v>2611565.48840503</v>
      </c>
      <c r="C9" s="8" t="n">
        <f aca="false">SUM('Proyección Base'!O43:Z43)</f>
        <v>85136742.2360489</v>
      </c>
      <c r="D9" s="8" t="n">
        <f aca="false">SUM('Proyección Conservador'!C43:N43)</f>
        <v>-9372319.64971479</v>
      </c>
      <c r="E9" s="8" t="n">
        <f aca="false">SUM('Proyección Conservador'!O43:Z43)</f>
        <v>777315.180157736</v>
      </c>
      <c r="F9" s="9" t="n">
        <f aca="false">(D9+E9)-(B9+C9)</f>
        <v>-96343312.1940109</v>
      </c>
      <c r="G9" s="3"/>
    </row>
    <row r="10" customFormat="false" ht="15" hidden="false" customHeight="true" outlineLevel="0" collapsed="false">
      <c r="A10" s="7" t="s">
        <v>13</v>
      </c>
      <c r="B10" s="8" t="n">
        <f aca="false">SUM('Proyección Base'!C45:N45)</f>
        <v>2011565.48840503</v>
      </c>
      <c r="C10" s="8" t="n">
        <f aca="false">SUM('Proyección Base'!O45:Z45)</f>
        <v>84536742.2360489</v>
      </c>
      <c r="D10" s="8" t="n">
        <f aca="false">SUM('Proyección Conservador'!C45:N45)</f>
        <v>-9972319.64971479</v>
      </c>
      <c r="E10" s="8" t="n">
        <f aca="false">SUM('Proyección Conservador'!O45:Z45)</f>
        <v>177315.180157736</v>
      </c>
      <c r="F10" s="9" t="n">
        <f aca="false">(D10+E10)-(B10+C10)</f>
        <v>-96343312.1940109</v>
      </c>
      <c r="G10" s="3"/>
    </row>
    <row r="11" customFormat="false" ht="15" hidden="false" customHeight="true" outlineLevel="0" collapsed="false">
      <c r="A11" s="7" t="s">
        <v>14</v>
      </c>
      <c r="B11" s="10" t="n">
        <f aca="false">IF(B5=0,0,B7/B5)</f>
        <v>0.803026746725985</v>
      </c>
      <c r="C11" s="10" t="n">
        <f aca="false">IF(C5=0,0,C7/C5)</f>
        <v>0.806718451097585</v>
      </c>
      <c r="D11" s="10" t="n">
        <f aca="false">IF(D5=0,0,D7/D5)</f>
        <v>0.809551920932413</v>
      </c>
      <c r="E11" s="10" t="n">
        <f aca="false">IF(E5=0,0,E7/E5)</f>
        <v>0.809551920932413</v>
      </c>
      <c r="F11" s="3"/>
      <c r="G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true" outlineLevel="0" collapsed="false">
      <c r="A13" s="11" t="s">
        <v>15</v>
      </c>
      <c r="B13" s="11" t="s">
        <v>16</v>
      </c>
      <c r="C13" s="11" t="s">
        <v>17</v>
      </c>
      <c r="D13" s="11"/>
      <c r="E13" s="11"/>
      <c r="F13" s="11"/>
      <c r="G13" s="11" t="s">
        <v>18</v>
      </c>
    </row>
    <row r="14" customFormat="false" ht="15" hidden="false" customHeight="true" outlineLevel="0" collapsed="false">
      <c r="A14" s="7" t="s">
        <v>19</v>
      </c>
      <c r="B14" s="12" t="n">
        <f aca="false">'Proyección Base'!N9</f>
        <v>205.204139701076</v>
      </c>
      <c r="C14" s="12" t="n">
        <f aca="false">'Proyección Conservador'!N9</f>
        <v>72.9374929287402</v>
      </c>
      <c r="D14" s="3"/>
      <c r="E14" s="3"/>
      <c r="F14" s="3"/>
      <c r="G14" s="13"/>
    </row>
    <row r="15" customFormat="false" ht="15" hidden="false" customHeight="true" outlineLevel="0" collapsed="false">
      <c r="A15" s="7" t="s">
        <v>20</v>
      </c>
      <c r="B15" s="12" t="n">
        <f aca="false">'Proyección Base'!Z9</f>
        <v>925.200980485957</v>
      </c>
      <c r="C15" s="12" t="n">
        <f aca="false">'Proyección Conservador'!Z9</f>
        <v>218.381449685258</v>
      </c>
      <c r="D15" s="3"/>
      <c r="E15" s="3"/>
      <c r="F15" s="3"/>
      <c r="G15" s="13"/>
    </row>
    <row r="16" customFormat="false" ht="15" hidden="false" customHeight="true" outlineLevel="0" collapsed="false">
      <c r="A16" s="7" t="s">
        <v>21</v>
      </c>
      <c r="B16" s="8" t="n">
        <f aca="false">'Proyección Base'!N22</f>
        <v>5378040.53211845</v>
      </c>
      <c r="C16" s="8" t="n">
        <f aca="false">'Proyección Conservador'!N22</f>
        <v>1786305.39719658</v>
      </c>
      <c r="D16" s="3"/>
      <c r="E16" s="3"/>
      <c r="F16" s="3"/>
      <c r="G16" s="13" t="s">
        <v>22</v>
      </c>
    </row>
    <row r="17" customFormat="false" ht="15" hidden="false" customHeight="true" outlineLevel="0" collapsed="false">
      <c r="A17" s="7" t="s">
        <v>23</v>
      </c>
      <c r="B17" s="8" t="n">
        <f aca="false">'Proyección Base'!Z22</f>
        <v>25641410.5278214</v>
      </c>
      <c r="C17" s="8" t="n">
        <f aca="false">'Proyección Conservador'!Z22</f>
        <v>5348359.89772109</v>
      </c>
      <c r="D17" s="3"/>
      <c r="E17" s="3"/>
      <c r="F17" s="3"/>
      <c r="G17" s="13"/>
    </row>
    <row r="18" customFormat="false" ht="15" hidden="false" customHeight="true" outlineLevel="0" collapsed="false">
      <c r="A18" s="7" t="s">
        <v>24</v>
      </c>
      <c r="B18" s="8" t="n">
        <f aca="false">'Proyección Base'!Z49</f>
        <v>307696926.333856</v>
      </c>
      <c r="C18" s="8" t="n">
        <f aca="false">'Proyección Conservador'!Z49</f>
        <v>64180318.772653</v>
      </c>
      <c r="D18" s="3"/>
      <c r="E18" s="3"/>
      <c r="F18" s="3"/>
      <c r="G18" s="13"/>
    </row>
    <row r="19" customFormat="false" ht="15" hidden="false" customHeight="true" outlineLevel="0" collapsed="false">
      <c r="A19" s="7" t="s">
        <v>25</v>
      </c>
      <c r="B19" s="8" t="n">
        <f aca="false">'Proyección Base'!Z51</f>
        <v>22489.3664478128</v>
      </c>
      <c r="C19" s="8" t="n">
        <f aca="false">'Proyección Conservador'!Z51</f>
        <v>19826.6612630252</v>
      </c>
      <c r="D19" s="3"/>
      <c r="E19" s="3"/>
      <c r="F19" s="3"/>
      <c r="G19" s="13"/>
    </row>
    <row r="20" customFormat="false" ht="15" hidden="false" customHeight="true" outlineLevel="0" collapsed="false">
      <c r="A20" s="7" t="s">
        <v>26</v>
      </c>
      <c r="B20" s="12" t="n">
        <f aca="false">IFERROR(MATCH(1,'Proyección Base'!C52:Z52,0),"No en 24 meses")</f>
        <v>4</v>
      </c>
      <c r="C20" s="12" t="n">
        <f aca="false">IFERROR(MATCH(1,'Proyección Conservador'!C52:Z52,0),"No en 24 meses")</f>
        <v>19</v>
      </c>
      <c r="D20" s="3"/>
      <c r="E20" s="3"/>
      <c r="F20" s="3"/>
      <c r="G20" s="13" t="s">
        <v>27</v>
      </c>
    </row>
    <row r="21" customFormat="false" ht="15" hidden="false" customHeight="true" outlineLevel="0" collapsed="false">
      <c r="A21" s="7" t="s">
        <v>28</v>
      </c>
      <c r="B21" s="12" t="n">
        <f aca="false">24-SUM('Proyección Base'!C52:Z52)</f>
        <v>5</v>
      </c>
      <c r="C21" s="12" t="n">
        <f aca="false">24-SUM('Proyección Conservador'!C52:Z52)</f>
        <v>18</v>
      </c>
      <c r="D21" s="3"/>
      <c r="E21" s="3"/>
      <c r="F21" s="3"/>
      <c r="G21" s="13"/>
    </row>
    <row r="22" customFormat="false" ht="15" hidden="false" customHeight="true" outlineLevel="0" collapsed="false">
      <c r="A22" s="7" t="s">
        <v>29</v>
      </c>
      <c r="B22" s="8" t="n">
        <f aca="false">MIN(0,MIN('Proyección Base'!C46:Z46))</f>
        <v>-1401902.19749181</v>
      </c>
      <c r="C22" s="8" t="n">
        <f aca="false">MIN(0,MIN('Proyección Conservador'!C46:Z46))</f>
        <v>-13064173.5341606</v>
      </c>
      <c r="D22" s="3"/>
      <c r="E22" s="3"/>
      <c r="F22" s="3"/>
      <c r="G22" s="13" t="s">
        <v>30</v>
      </c>
    </row>
    <row r="23" customFormat="false" ht="15" hidden="false" customHeight="true" outlineLevel="0" collapsed="false">
      <c r="A23" s="7" t="s">
        <v>31</v>
      </c>
      <c r="B23" s="8" t="n">
        <f aca="false">'Proyección Base'!Z46</f>
        <v>86548307.7244539</v>
      </c>
      <c r="C23" s="8" t="n">
        <f aca="false">'Proyección Conservador'!Z46</f>
        <v>-9795004.46955706</v>
      </c>
      <c r="D23" s="3"/>
      <c r="E23" s="3"/>
      <c r="F23" s="3"/>
      <c r="G23" s="13"/>
    </row>
    <row r="24" customFormat="false" ht="15" hidden="false" customHeight="true" outlineLevel="0" collapsed="false">
      <c r="A24" s="7" t="s">
        <v>32</v>
      </c>
      <c r="B24" s="12" t="n">
        <f aca="false">IF('Proyección Base'!Z51&lt;=0,0,ROUNDUP((Supuestos!$B$72+Supuestos!$B$74+Supuestos!$B$81)/'Proyección Base'!Z51,0))</f>
        <v>17</v>
      </c>
      <c r="C24" s="12" t="n">
        <f aca="false">IF('Proyección Conservador'!Z51&lt;=0,0,ROUNDUP((Supuestos!$B$72+Supuestos!$B$74+Supuestos!$B$81)/'Proyección Conservador'!Z51,0))</f>
        <v>19</v>
      </c>
      <c r="D24" s="3"/>
      <c r="E24" s="3"/>
      <c r="F24" s="3"/>
      <c r="G24" s="13" t="s">
        <v>33</v>
      </c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true" outlineLevel="0" collapsed="false">
      <c r="A26" s="14" t="s">
        <v>34</v>
      </c>
      <c r="B26" s="3"/>
      <c r="C26" s="3"/>
      <c r="D26" s="3"/>
      <c r="E26" s="3"/>
      <c r="F26" s="3"/>
      <c r="G26" s="3"/>
    </row>
    <row r="27" customFormat="false" ht="15" hidden="false" customHeight="true" outlineLevel="0" collapsed="false">
      <c r="A27" s="7" t="s">
        <v>35</v>
      </c>
      <c r="B27" s="12" t="n">
        <f aca="false">Escenarios!$B$5</f>
        <v>10</v>
      </c>
      <c r="C27" s="12" t="n">
        <f aca="false">Escenarios!$C$5</f>
        <v>5</v>
      </c>
      <c r="D27" s="3"/>
      <c r="E27" s="3"/>
      <c r="F27" s="3"/>
      <c r="G27" s="3"/>
    </row>
    <row r="28" customFormat="false" ht="15" hidden="false" customHeight="true" outlineLevel="0" collapsed="false">
      <c r="A28" s="7" t="s">
        <v>36</v>
      </c>
      <c r="B28" s="15" t="n">
        <f aca="false">Escenarios!$B$6</f>
        <v>0.12</v>
      </c>
      <c r="C28" s="15" t="n">
        <f aca="false">Escenarios!$C$6</f>
        <v>0.08</v>
      </c>
      <c r="D28" s="3"/>
      <c r="E28" s="3"/>
      <c r="F28" s="3"/>
      <c r="G28" s="3"/>
    </row>
    <row r="29" customFormat="false" ht="15" hidden="false" customHeight="true" outlineLevel="0" collapsed="false">
      <c r="A29" s="7" t="s">
        <v>37</v>
      </c>
      <c r="B29" s="15" t="n">
        <f aca="false">Escenarios!$B$7</f>
        <v>0.04</v>
      </c>
      <c r="C29" s="15" t="n">
        <f aca="false">Escenarios!$C$7</f>
        <v>0.06</v>
      </c>
      <c r="D29" s="3"/>
      <c r="E29" s="3"/>
      <c r="F29" s="3"/>
      <c r="G29" s="3"/>
    </row>
    <row r="30" customFormat="false" ht="15" hidden="false" customHeight="true" outlineLevel="0" collapsed="false">
      <c r="A30" s="7" t="s">
        <v>38</v>
      </c>
      <c r="B30" s="15" t="n">
        <f aca="false">Escenarios!$B$9</f>
        <v>0.2</v>
      </c>
      <c r="C30" s="15" t="n">
        <f aca="false">Escenarios!$C$9</f>
        <v>0.16</v>
      </c>
      <c r="D30" s="3"/>
      <c r="E30" s="3"/>
      <c r="F30" s="3"/>
      <c r="G30" s="3"/>
    </row>
    <row r="31" customFormat="false" ht="15" hidden="false" customHeight="true" outlineLevel="0" collapsed="false">
      <c r="A31" s="7" t="s">
        <v>39</v>
      </c>
      <c r="B31" s="15" t="n">
        <f aca="false">Escenarios!$B$11</f>
        <v>0.25</v>
      </c>
      <c r="C31" s="15" t="n">
        <f aca="false">Escenarios!$C$11</f>
        <v>0.15</v>
      </c>
      <c r="D31" s="3"/>
      <c r="E31" s="3"/>
      <c r="F31" s="3"/>
      <c r="G31" s="3"/>
    </row>
    <row r="32" customFormat="false" ht="15" hidden="false" customHeight="true" outlineLevel="0" collapsed="false">
      <c r="A32" s="7" t="s">
        <v>40</v>
      </c>
      <c r="B32" s="8" t="n">
        <f aca="false">Escenarios!$B$12</f>
        <v>25000</v>
      </c>
      <c r="C32" s="8" t="n">
        <f aca="false">Escenarios!$C$12</f>
        <v>40000</v>
      </c>
      <c r="D32" s="3"/>
      <c r="E32" s="3"/>
      <c r="F32" s="3"/>
      <c r="G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true" outlineLevel="0" collapsed="false">
      <c r="A34" s="14" t="s">
        <v>41</v>
      </c>
      <c r="B34" s="3"/>
      <c r="C34" s="3"/>
      <c r="D34" s="3"/>
      <c r="E34" s="3"/>
      <c r="F34" s="3"/>
      <c r="G34" s="3"/>
    </row>
    <row r="35" customFormat="false" ht="15" hidden="false" customHeight="true" outlineLevel="0" collapsed="false">
      <c r="A35" s="13" t="s">
        <v>42</v>
      </c>
      <c r="B35" s="3"/>
      <c r="C35" s="3"/>
      <c r="D35" s="3"/>
      <c r="E35" s="3"/>
      <c r="F35" s="3"/>
      <c r="G35" s="3"/>
    </row>
    <row r="36" customFormat="false" ht="15" hidden="false" customHeight="true" outlineLevel="0" collapsed="false">
      <c r="A36" s="13" t="s">
        <v>43</v>
      </c>
      <c r="B36" s="3"/>
      <c r="C36" s="3"/>
      <c r="D36" s="3"/>
      <c r="E36" s="3"/>
      <c r="F36" s="3"/>
      <c r="G36" s="3"/>
    </row>
    <row r="37" customFormat="false" ht="15" hidden="false" customHeight="true" outlineLevel="0" collapsed="false">
      <c r="A37" s="13" t="s">
        <v>44</v>
      </c>
      <c r="B37" s="3"/>
      <c r="C37" s="3"/>
      <c r="D37" s="3"/>
      <c r="E37" s="3"/>
      <c r="F37" s="3"/>
      <c r="G37" s="3"/>
    </row>
    <row r="38" customFormat="false" ht="15" hidden="false" customHeight="true" outlineLevel="0" collapsed="false">
      <c r="A38" s="13" t="s">
        <v>45</v>
      </c>
      <c r="B38" s="3"/>
      <c r="C38" s="3"/>
      <c r="D38" s="3"/>
      <c r="E38" s="3"/>
      <c r="F38" s="3"/>
      <c r="G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46</v>
      </c>
      <c r="B1" s="3"/>
      <c r="C1" s="3"/>
      <c r="D1" s="3"/>
    </row>
    <row r="2" customFormat="false" ht="15" hidden="false" customHeight="true" outlineLevel="0" collapsed="false">
      <c r="A2" s="4" t="s">
        <v>47</v>
      </c>
      <c r="B2" s="3"/>
      <c r="C2" s="3"/>
      <c r="D2" s="3"/>
    </row>
    <row r="3" customFormat="false" ht="15" hidden="false" customHeight="true" outlineLevel="0" collapsed="false">
      <c r="A3" s="4" t="s">
        <v>48</v>
      </c>
      <c r="B3" s="3"/>
      <c r="C3" s="3"/>
      <c r="D3" s="3"/>
    </row>
    <row r="4" customFormat="false" ht="15" hidden="false" customHeight="true" outlineLevel="0" collapsed="false">
      <c r="A4" s="3"/>
      <c r="B4" s="3"/>
      <c r="C4" s="3"/>
      <c r="D4" s="3"/>
    </row>
    <row r="5" customFormat="false" ht="15" hidden="false" customHeight="true" outlineLevel="0" collapsed="false">
      <c r="A5" s="11" t="s">
        <v>49</v>
      </c>
      <c r="B5" s="11" t="s">
        <v>50</v>
      </c>
      <c r="C5" s="11" t="s">
        <v>51</v>
      </c>
      <c r="D5" s="11" t="s">
        <v>52</v>
      </c>
    </row>
    <row r="6" customFormat="false" ht="15" hidden="false" customHeight="true" outlineLevel="0" collapsed="false">
      <c r="A6" s="7" t="s">
        <v>53</v>
      </c>
      <c r="B6" s="16" t="n">
        <v>950</v>
      </c>
      <c r="C6" s="7" t="s">
        <v>54</v>
      </c>
      <c r="D6" s="13" t="s">
        <v>55</v>
      </c>
    </row>
    <row r="7" customFormat="false" ht="15" hidden="false" customHeight="true" outlineLevel="0" collapsed="false">
      <c r="A7" s="7" t="s">
        <v>56</v>
      </c>
      <c r="B7" s="17" t="n">
        <v>0.19</v>
      </c>
      <c r="C7" s="7" t="s">
        <v>57</v>
      </c>
      <c r="D7" s="13" t="s">
        <v>58</v>
      </c>
    </row>
    <row r="8" customFormat="false" ht="15" hidden="false" customHeight="true" outlineLevel="0" collapsed="false">
      <c r="A8" s="3"/>
      <c r="B8" s="3"/>
      <c r="C8" s="3"/>
      <c r="D8" s="3"/>
    </row>
    <row r="9" customFormat="false" ht="15" hidden="false" customHeight="true" outlineLevel="0" collapsed="false">
      <c r="A9" s="11" t="s">
        <v>59</v>
      </c>
      <c r="B9" s="11" t="s">
        <v>50</v>
      </c>
      <c r="C9" s="11" t="s">
        <v>51</v>
      </c>
      <c r="D9" s="11" t="s">
        <v>52</v>
      </c>
    </row>
    <row r="10" customFormat="false" ht="15" hidden="false" customHeight="true" outlineLevel="0" collapsed="false">
      <c r="A10" s="7" t="s">
        <v>60</v>
      </c>
      <c r="B10" s="18" t="n">
        <v>19990</v>
      </c>
      <c r="C10" s="7" t="s">
        <v>61</v>
      </c>
      <c r="D10" s="13" t="s">
        <v>62</v>
      </c>
    </row>
    <row r="11" customFormat="false" ht="15" hidden="false" customHeight="true" outlineLevel="0" collapsed="false">
      <c r="A11" s="7" t="s">
        <v>63</v>
      </c>
      <c r="B11" s="18" t="n">
        <v>59990</v>
      </c>
      <c r="C11" s="7" t="s">
        <v>61</v>
      </c>
      <c r="D11" s="13" t="s">
        <v>62</v>
      </c>
    </row>
    <row r="12" customFormat="false" ht="15" hidden="false" customHeight="true" outlineLevel="0" collapsed="false">
      <c r="A12" s="7" t="s">
        <v>64</v>
      </c>
      <c r="B12" s="18" t="n">
        <v>39990</v>
      </c>
      <c r="C12" s="7" t="s">
        <v>61</v>
      </c>
      <c r="D12" s="13" t="s">
        <v>65</v>
      </c>
    </row>
    <row r="13" customFormat="false" ht="15" hidden="false" customHeight="true" outlineLevel="0" collapsed="false">
      <c r="A13" s="7" t="s">
        <v>66</v>
      </c>
      <c r="B13" s="16" t="n">
        <v>100</v>
      </c>
      <c r="C13" s="7" t="s">
        <v>67</v>
      </c>
      <c r="D13" s="13" t="s">
        <v>68</v>
      </c>
    </row>
    <row r="14" customFormat="false" ht="15" hidden="false" customHeight="true" outlineLevel="0" collapsed="false">
      <c r="A14" s="7" t="s">
        <v>69</v>
      </c>
      <c r="B14" s="18" t="n">
        <v>29990</v>
      </c>
      <c r="C14" s="7" t="s">
        <v>70</v>
      </c>
      <c r="D14" s="13" t="s">
        <v>71</v>
      </c>
    </row>
    <row r="15" customFormat="false" ht="15" hidden="false" customHeight="true" outlineLevel="0" collapsed="false">
      <c r="A15" s="7" t="s">
        <v>72</v>
      </c>
      <c r="B15" s="16" t="n">
        <v>6</v>
      </c>
      <c r="C15" s="7" t="s">
        <v>73</v>
      </c>
      <c r="D15" s="13"/>
    </row>
    <row r="16" customFormat="false" ht="15" hidden="false" customHeight="true" outlineLevel="0" collapsed="false">
      <c r="A16" s="7" t="s">
        <v>74</v>
      </c>
      <c r="B16" s="17" t="n">
        <v>0.1</v>
      </c>
      <c r="C16" s="7" t="s">
        <v>57</v>
      </c>
      <c r="D16" s="13" t="s">
        <v>75</v>
      </c>
    </row>
    <row r="17" customFormat="false" ht="15" hidden="false" customHeight="true" outlineLevel="0" collapsed="false">
      <c r="A17" s="7" t="s">
        <v>76</v>
      </c>
      <c r="B17" s="9" t="n">
        <f aca="false">ROUND($B$10*12*(1-$B$16),-2)-10</f>
        <v>215890</v>
      </c>
      <c r="C17" s="7" t="s">
        <v>77</v>
      </c>
      <c r="D17" s="13" t="s">
        <v>78</v>
      </c>
    </row>
    <row r="18" customFormat="false" ht="15" hidden="false" customHeight="true" outlineLevel="0" collapsed="false">
      <c r="A18" s="7" t="s">
        <v>79</v>
      </c>
      <c r="B18" s="9" t="n">
        <f aca="false">ROUND($B$11*12*(1-$B$16),-2)</f>
        <v>647900</v>
      </c>
      <c r="C18" s="7" t="s">
        <v>77</v>
      </c>
      <c r="D18" s="13"/>
    </row>
    <row r="19" customFormat="false" ht="15" hidden="false" customHeight="true" outlineLevel="0" collapsed="false">
      <c r="A19" s="7" t="s">
        <v>80</v>
      </c>
      <c r="B19" s="9" t="n">
        <f aca="false">ROUND($B$12*12*(1-$B$16),-2)</f>
        <v>431900</v>
      </c>
      <c r="C19" s="7" t="s">
        <v>77</v>
      </c>
      <c r="D19" s="13"/>
    </row>
    <row r="20" customFormat="false" ht="15" hidden="false" customHeight="true" outlineLevel="0" collapsed="false">
      <c r="A20" s="7" t="s">
        <v>81</v>
      </c>
      <c r="B20" s="9" t="n">
        <f aca="false">$B$10/(1+$B$7)</f>
        <v>16798.3193277311</v>
      </c>
      <c r="C20" s="7" t="s">
        <v>82</v>
      </c>
      <c r="D20" s="13"/>
    </row>
    <row r="21" customFormat="false" ht="15" hidden="false" customHeight="true" outlineLevel="0" collapsed="false">
      <c r="A21" s="7" t="s">
        <v>83</v>
      </c>
      <c r="B21" s="9" t="n">
        <f aca="false">$B$11/(1+$B$7)</f>
        <v>50411.7647058824</v>
      </c>
      <c r="C21" s="7" t="s">
        <v>82</v>
      </c>
      <c r="D21" s="13"/>
    </row>
    <row r="22" customFormat="false" ht="15" hidden="false" customHeight="true" outlineLevel="0" collapsed="false">
      <c r="A22" s="7" t="s">
        <v>84</v>
      </c>
      <c r="B22" s="9" t="n">
        <f aca="false">$B$12/(1+$B$7)</f>
        <v>33605.0420168067</v>
      </c>
      <c r="C22" s="7" t="s">
        <v>82</v>
      </c>
      <c r="D22" s="13"/>
    </row>
    <row r="23" customFormat="false" ht="15" hidden="false" customHeight="true" outlineLevel="0" collapsed="false">
      <c r="A23" s="7" t="s">
        <v>85</v>
      </c>
      <c r="B23" s="9" t="n">
        <f aca="false">$B$14/(1+$B$7)</f>
        <v>25201.6806722689</v>
      </c>
      <c r="C23" s="7" t="s">
        <v>70</v>
      </c>
      <c r="D23" s="13"/>
    </row>
    <row r="24" customFormat="false" ht="15" hidden="false" customHeight="true" outlineLevel="0" collapsed="false">
      <c r="A24" s="3"/>
      <c r="B24" s="3"/>
      <c r="C24" s="3"/>
      <c r="D24" s="3"/>
    </row>
    <row r="25" customFormat="false" ht="15" hidden="false" customHeight="true" outlineLevel="0" collapsed="false">
      <c r="A25" s="11" t="s">
        <v>86</v>
      </c>
      <c r="B25" s="11" t="s">
        <v>50</v>
      </c>
      <c r="C25" s="11" t="s">
        <v>51</v>
      </c>
      <c r="D25" s="11" t="s">
        <v>52</v>
      </c>
    </row>
    <row r="26" customFormat="false" ht="15" hidden="false" customHeight="true" outlineLevel="0" collapsed="false">
      <c r="A26" s="4" t="s">
        <v>87</v>
      </c>
      <c r="B26" s="3"/>
      <c r="C26" s="3"/>
      <c r="D26" s="3"/>
    </row>
    <row r="27" customFormat="false" ht="15" hidden="false" customHeight="true" outlineLevel="0" collapsed="false">
      <c r="A27" s="3"/>
      <c r="B27" s="3"/>
      <c r="C27" s="3"/>
      <c r="D27" s="3"/>
    </row>
    <row r="28" customFormat="false" ht="15" hidden="false" customHeight="true" outlineLevel="0" collapsed="false">
      <c r="A28" s="11" t="s">
        <v>88</v>
      </c>
      <c r="B28" s="11" t="s">
        <v>50</v>
      </c>
      <c r="C28" s="11" t="s">
        <v>51</v>
      </c>
      <c r="D28" s="11" t="s">
        <v>52</v>
      </c>
    </row>
    <row r="29" customFormat="false" ht="15" hidden="false" customHeight="true" outlineLevel="0" collapsed="false">
      <c r="A29" s="7" t="s">
        <v>89</v>
      </c>
      <c r="B29" s="19" t="n">
        <v>1</v>
      </c>
      <c r="C29" s="7" t="s">
        <v>90</v>
      </c>
      <c r="D29" s="13" t="s">
        <v>91</v>
      </c>
    </row>
    <row r="30" customFormat="false" ht="15" hidden="false" customHeight="true" outlineLevel="0" collapsed="false">
      <c r="A30" s="7" t="s">
        <v>92</v>
      </c>
      <c r="B30" s="19" t="n">
        <v>5</v>
      </c>
      <c r="C30" s="7" t="s">
        <v>90</v>
      </c>
      <c r="D30" s="13" t="s">
        <v>91</v>
      </c>
    </row>
    <row r="31" customFormat="false" ht="15" hidden="false" customHeight="true" outlineLevel="0" collapsed="false">
      <c r="A31" s="7" t="s">
        <v>93</v>
      </c>
      <c r="B31" s="19" t="n">
        <v>2</v>
      </c>
      <c r="C31" s="7" t="s">
        <v>90</v>
      </c>
      <c r="D31" s="13" t="s">
        <v>91</v>
      </c>
    </row>
    <row r="32" customFormat="false" ht="15" hidden="false" customHeight="true" outlineLevel="0" collapsed="false">
      <c r="A32" s="7" t="s">
        <v>94</v>
      </c>
      <c r="B32" s="19" t="n">
        <v>10</v>
      </c>
      <c r="C32" s="7" t="s">
        <v>90</v>
      </c>
      <c r="D32" s="13" t="s">
        <v>91</v>
      </c>
    </row>
    <row r="33" customFormat="false" ht="15" hidden="false" customHeight="true" outlineLevel="0" collapsed="false">
      <c r="A33" s="7" t="s">
        <v>95</v>
      </c>
      <c r="B33" s="19" t="n">
        <v>0.2</v>
      </c>
      <c r="C33" s="7" t="s">
        <v>90</v>
      </c>
      <c r="D33" s="13" t="s">
        <v>91</v>
      </c>
    </row>
    <row r="34" customFormat="false" ht="15" hidden="false" customHeight="true" outlineLevel="0" collapsed="false">
      <c r="A34" s="7" t="s">
        <v>96</v>
      </c>
      <c r="B34" s="17" t="n">
        <v>0.5</v>
      </c>
      <c r="C34" s="7" t="s">
        <v>57</v>
      </c>
      <c r="D34" s="13" t="s">
        <v>97</v>
      </c>
    </row>
    <row r="35" customFormat="false" ht="15" hidden="false" customHeight="true" outlineLevel="0" collapsed="false">
      <c r="A35" s="7" t="s">
        <v>98</v>
      </c>
      <c r="B35" s="16" t="n">
        <v>60000</v>
      </c>
      <c r="C35" s="7" t="s">
        <v>99</v>
      </c>
      <c r="D35" s="13" t="s">
        <v>100</v>
      </c>
    </row>
    <row r="36" customFormat="false" ht="15" hidden="false" customHeight="true" outlineLevel="0" collapsed="false">
      <c r="A36" s="7" t="s">
        <v>101</v>
      </c>
      <c r="B36" s="16" t="n">
        <v>3000</v>
      </c>
      <c r="C36" s="7" t="s">
        <v>99</v>
      </c>
      <c r="D36" s="13" t="s">
        <v>102</v>
      </c>
    </row>
    <row r="37" customFormat="false" ht="15" hidden="false" customHeight="true" outlineLevel="0" collapsed="false">
      <c r="A37" s="7" t="s">
        <v>103</v>
      </c>
      <c r="B37" s="16" t="n">
        <v>500</v>
      </c>
      <c r="C37" s="7" t="s">
        <v>99</v>
      </c>
      <c r="D37" s="13" t="s">
        <v>102</v>
      </c>
    </row>
    <row r="38" customFormat="false" ht="15" hidden="false" customHeight="true" outlineLevel="0" collapsed="false">
      <c r="A38" s="7" t="s">
        <v>104</v>
      </c>
      <c r="B38" s="16" t="n">
        <v>8000</v>
      </c>
      <c r="C38" s="7" t="s">
        <v>99</v>
      </c>
      <c r="D38" s="13" t="s">
        <v>102</v>
      </c>
    </row>
    <row r="39" customFormat="false" ht="15" hidden="false" customHeight="true" outlineLevel="0" collapsed="false">
      <c r="A39" s="7" t="s">
        <v>105</v>
      </c>
      <c r="B39" s="16" t="n">
        <v>4500</v>
      </c>
      <c r="C39" s="7" t="s">
        <v>99</v>
      </c>
      <c r="D39" s="13" t="s">
        <v>106</v>
      </c>
    </row>
    <row r="40" customFormat="false" ht="15" hidden="false" customHeight="true" outlineLevel="0" collapsed="false">
      <c r="A40" s="7" t="s">
        <v>107</v>
      </c>
      <c r="B40" s="16" t="n">
        <v>500</v>
      </c>
      <c r="C40" s="7" t="s">
        <v>99</v>
      </c>
      <c r="D40" s="13" t="s">
        <v>102</v>
      </c>
    </row>
    <row r="41" customFormat="false" ht="15" hidden="false" customHeight="true" outlineLevel="0" collapsed="false">
      <c r="A41" s="7" t="s">
        <v>108</v>
      </c>
      <c r="B41" s="17" t="n">
        <v>0.3</v>
      </c>
      <c r="C41" s="7" t="s">
        <v>57</v>
      </c>
      <c r="D41" s="13" t="s">
        <v>109</v>
      </c>
    </row>
    <row r="42" customFormat="false" ht="15" hidden="false" customHeight="true" outlineLevel="0" collapsed="false">
      <c r="A42" s="7" t="s">
        <v>110</v>
      </c>
      <c r="B42" s="20" t="n">
        <f aca="false">($B$35*$B$31+$B$36*$B$32)/1000000</f>
        <v>0.15</v>
      </c>
      <c r="C42" s="7" t="s">
        <v>111</v>
      </c>
      <c r="D42" s="13"/>
    </row>
    <row r="43" customFormat="false" ht="15" hidden="false" customHeight="true" outlineLevel="0" collapsed="false">
      <c r="A43" s="7" t="s">
        <v>112</v>
      </c>
      <c r="B43" s="20" t="n">
        <f aca="false">($B$35*$B$33+$B$37*$B$32)/1000000</f>
        <v>0.017</v>
      </c>
      <c r="C43" s="7" t="s">
        <v>111</v>
      </c>
      <c r="D43" s="13"/>
    </row>
    <row r="44" customFormat="false" ht="15" hidden="false" customHeight="true" outlineLevel="0" collapsed="false">
      <c r="A44" s="7" t="s">
        <v>113</v>
      </c>
      <c r="B44" s="20" t="n">
        <f aca="false">($B$35*$B$33+$B$38*$B$32)/1000000</f>
        <v>0.092</v>
      </c>
      <c r="C44" s="7" t="s">
        <v>111</v>
      </c>
      <c r="D44" s="13"/>
    </row>
    <row r="45" customFormat="false" ht="15" hidden="false" customHeight="true" outlineLevel="0" collapsed="false">
      <c r="A45" s="7" t="s">
        <v>114</v>
      </c>
      <c r="B45" s="20" t="n">
        <f aca="false">($B$39*$B$29+$B$40*$B$30)/1000000</f>
        <v>0.007</v>
      </c>
      <c r="C45" s="7" t="s">
        <v>115</v>
      </c>
      <c r="D45" s="13"/>
    </row>
    <row r="46" customFormat="false" ht="15" hidden="false" customHeight="true" outlineLevel="0" collapsed="false">
      <c r="A46" s="7" t="s">
        <v>116</v>
      </c>
      <c r="B46" s="16" t="n">
        <v>10</v>
      </c>
      <c r="C46" s="7" t="s">
        <v>117</v>
      </c>
      <c r="D46" s="13" t="s">
        <v>118</v>
      </c>
    </row>
    <row r="47" customFormat="false" ht="15" hidden="false" customHeight="true" outlineLevel="0" collapsed="false">
      <c r="A47" s="7" t="s">
        <v>119</v>
      </c>
      <c r="B47" s="16" t="n">
        <v>30</v>
      </c>
      <c r="C47" s="7" t="s">
        <v>117</v>
      </c>
      <c r="D47" s="13" t="s">
        <v>120</v>
      </c>
    </row>
    <row r="48" customFormat="false" ht="15" hidden="false" customHeight="true" outlineLevel="0" collapsed="false">
      <c r="A48" s="7" t="s">
        <v>121</v>
      </c>
      <c r="B48" s="16" t="n">
        <v>20</v>
      </c>
      <c r="C48" s="7" t="s">
        <v>122</v>
      </c>
      <c r="D48" s="13"/>
    </row>
    <row r="49" customFormat="false" ht="15" hidden="false" customHeight="true" outlineLevel="0" collapsed="false">
      <c r="A49" s="7" t="s">
        <v>123</v>
      </c>
      <c r="B49" s="16" t="n">
        <v>50</v>
      </c>
      <c r="C49" s="7" t="s">
        <v>122</v>
      </c>
      <c r="D49" s="13"/>
    </row>
    <row r="50" customFormat="false" ht="15" hidden="false" customHeight="true" outlineLevel="0" collapsed="false">
      <c r="A50" s="7" t="s">
        <v>124</v>
      </c>
      <c r="B50" s="16" t="n">
        <v>5</v>
      </c>
      <c r="C50" s="7" t="s">
        <v>125</v>
      </c>
      <c r="D50" s="13" t="s">
        <v>126</v>
      </c>
    </row>
    <row r="51" customFormat="false" ht="15" hidden="false" customHeight="true" outlineLevel="0" collapsed="false">
      <c r="A51" s="7" t="s">
        <v>127</v>
      </c>
      <c r="B51" s="9" t="n">
        <f aca="false">($B$45*30+$B$46*$B$42*(1-$B$41)+$B$48*$B$43)*$B$6</f>
        <v>1520</v>
      </c>
      <c r="C51" s="7" t="s">
        <v>61</v>
      </c>
      <c r="D51" s="13"/>
    </row>
    <row r="52" customFormat="false" ht="15" hidden="false" customHeight="true" outlineLevel="0" collapsed="false">
      <c r="A52" s="7" t="s">
        <v>128</v>
      </c>
      <c r="B52" s="9" t="n">
        <f aca="false">($B$45*30+$B$47*$B$42*(1-$B$41)+$B$49*$B$43+$B$50*$B$44)*$B$6</f>
        <v>4436.5</v>
      </c>
      <c r="C52" s="7" t="s">
        <v>61</v>
      </c>
      <c r="D52" s="13" t="s">
        <v>129</v>
      </c>
    </row>
    <row r="53" customFormat="false" ht="15" hidden="false" customHeight="true" outlineLevel="0" collapsed="false">
      <c r="A53" s="3"/>
      <c r="B53" s="3"/>
      <c r="C53" s="3"/>
      <c r="D53" s="3"/>
    </row>
    <row r="54" customFormat="false" ht="15" hidden="false" customHeight="true" outlineLevel="0" collapsed="false">
      <c r="A54" s="11" t="s">
        <v>130</v>
      </c>
      <c r="B54" s="11" t="s">
        <v>50</v>
      </c>
      <c r="C54" s="11" t="s">
        <v>51</v>
      </c>
      <c r="D54" s="11" t="s">
        <v>52</v>
      </c>
    </row>
    <row r="55" customFormat="false" ht="15" hidden="false" customHeight="true" outlineLevel="0" collapsed="false">
      <c r="A55" s="7" t="s">
        <v>131</v>
      </c>
      <c r="B55" s="19" t="n">
        <v>0.02</v>
      </c>
      <c r="C55" s="7" t="s">
        <v>132</v>
      </c>
      <c r="D55" s="13" t="s">
        <v>133</v>
      </c>
    </row>
    <row r="56" customFormat="false" ht="15" hidden="false" customHeight="true" outlineLevel="0" collapsed="false">
      <c r="A56" s="7" t="s">
        <v>134</v>
      </c>
      <c r="B56" s="16" t="n">
        <v>22</v>
      </c>
      <c r="C56" s="7" t="s">
        <v>135</v>
      </c>
      <c r="D56" s="13" t="s">
        <v>136</v>
      </c>
    </row>
    <row r="57" customFormat="false" ht="15" hidden="false" customHeight="true" outlineLevel="0" collapsed="false">
      <c r="A57" s="7" t="s">
        <v>137</v>
      </c>
      <c r="B57" s="16" t="n">
        <v>20</v>
      </c>
      <c r="C57" s="7" t="s">
        <v>135</v>
      </c>
      <c r="D57" s="13" t="s">
        <v>138</v>
      </c>
    </row>
    <row r="58" customFormat="false" ht="15" hidden="false" customHeight="true" outlineLevel="0" collapsed="false">
      <c r="A58" s="7" t="s">
        <v>139</v>
      </c>
      <c r="B58" s="9" t="n">
        <f aca="false">$B$55*$B$56*$B$6</f>
        <v>418</v>
      </c>
      <c r="C58" s="7" t="s">
        <v>61</v>
      </c>
      <c r="D58" s="13"/>
    </row>
    <row r="59" customFormat="false" ht="15" hidden="false" customHeight="true" outlineLevel="0" collapsed="false">
      <c r="A59" s="7" t="s">
        <v>140</v>
      </c>
      <c r="B59" s="9" t="n">
        <f aca="false">$B$55*($B$56+$B$57)*$B$6</f>
        <v>798</v>
      </c>
      <c r="C59" s="7" t="s">
        <v>61</v>
      </c>
      <c r="D59" s="13"/>
    </row>
    <row r="60" customFormat="false" ht="15" hidden="false" customHeight="true" outlineLevel="0" collapsed="false">
      <c r="A60" s="7" t="s">
        <v>141</v>
      </c>
      <c r="B60" s="17" t="n">
        <v>0.035</v>
      </c>
      <c r="C60" s="7" t="s">
        <v>57</v>
      </c>
      <c r="D60" s="13" t="s">
        <v>142</v>
      </c>
    </row>
    <row r="61" customFormat="false" ht="15" hidden="false" customHeight="true" outlineLevel="0" collapsed="false">
      <c r="A61" s="3"/>
      <c r="B61" s="3"/>
      <c r="C61" s="3"/>
      <c r="D61" s="3"/>
    </row>
    <row r="62" customFormat="false" ht="15" hidden="false" customHeight="true" outlineLevel="0" collapsed="false">
      <c r="A62" s="11" t="s">
        <v>143</v>
      </c>
      <c r="B62" s="11" t="s">
        <v>144</v>
      </c>
      <c r="C62" s="11" t="s">
        <v>145</v>
      </c>
      <c r="D62" s="11" t="s">
        <v>52</v>
      </c>
    </row>
    <row r="63" customFormat="false" ht="15" hidden="false" customHeight="true" outlineLevel="0" collapsed="false">
      <c r="A63" s="7" t="s">
        <v>146</v>
      </c>
      <c r="B63" s="16" t="n">
        <v>1000</v>
      </c>
      <c r="C63" s="7"/>
      <c r="D63" s="13" t="s">
        <v>147</v>
      </c>
    </row>
    <row r="64" customFormat="false" ht="15" hidden="false" customHeight="true" outlineLevel="0" collapsed="false">
      <c r="A64" s="7" t="s">
        <v>148</v>
      </c>
      <c r="B64" s="18" t="n">
        <v>76000</v>
      </c>
      <c r="C64" s="18" t="n">
        <v>380000</v>
      </c>
      <c r="D64" s="13" t="s">
        <v>149</v>
      </c>
    </row>
    <row r="65" customFormat="false" ht="15" hidden="false" customHeight="true" outlineLevel="0" collapsed="false">
      <c r="A65" s="7" t="s">
        <v>150</v>
      </c>
      <c r="B65" s="18" t="n">
        <v>19000</v>
      </c>
      <c r="C65" s="18" t="n">
        <v>47000</v>
      </c>
      <c r="D65" s="13" t="s">
        <v>102</v>
      </c>
    </row>
    <row r="66" customFormat="false" ht="15" hidden="false" customHeight="true" outlineLevel="0" collapsed="false">
      <c r="A66" s="7" t="s">
        <v>151</v>
      </c>
      <c r="B66" s="18" t="n">
        <v>25000</v>
      </c>
      <c r="C66" s="18" t="n">
        <v>50000</v>
      </c>
      <c r="D66" s="13" t="s">
        <v>102</v>
      </c>
    </row>
    <row r="67" customFormat="false" ht="15" hidden="false" customHeight="true" outlineLevel="0" collapsed="false">
      <c r="A67" s="7" t="s">
        <v>152</v>
      </c>
      <c r="B67" s="18" t="n">
        <v>2100</v>
      </c>
      <c r="C67" s="18" t="n">
        <v>2100</v>
      </c>
      <c r="D67" s="13" t="s">
        <v>153</v>
      </c>
    </row>
    <row r="68" customFormat="false" ht="15" hidden="false" customHeight="true" outlineLevel="0" collapsed="false">
      <c r="A68" s="7" t="s">
        <v>154</v>
      </c>
      <c r="B68" s="18" t="n">
        <v>13000</v>
      </c>
      <c r="C68" s="18" t="n">
        <v>33000</v>
      </c>
      <c r="D68" s="13" t="s">
        <v>155</v>
      </c>
    </row>
    <row r="69" customFormat="false" ht="15" hidden="false" customHeight="true" outlineLevel="0" collapsed="false">
      <c r="A69" s="7" t="s">
        <v>156</v>
      </c>
      <c r="B69" s="18" t="n">
        <v>50000</v>
      </c>
      <c r="C69" s="18" t="n">
        <v>150000</v>
      </c>
      <c r="D69" s="13" t="s">
        <v>102</v>
      </c>
    </row>
    <row r="70" customFormat="false" ht="15" hidden="false" customHeight="true" outlineLevel="0" collapsed="false">
      <c r="A70" s="7" t="s">
        <v>157</v>
      </c>
      <c r="B70" s="18" t="n">
        <v>20000</v>
      </c>
      <c r="C70" s="18" t="n">
        <v>50000</v>
      </c>
      <c r="D70" s="13" t="s">
        <v>158</v>
      </c>
    </row>
    <row r="71" customFormat="false" ht="15" hidden="false" customHeight="true" outlineLevel="0" collapsed="false">
      <c r="A71" s="7" t="s">
        <v>159</v>
      </c>
      <c r="B71" s="18" t="n">
        <v>100000</v>
      </c>
      <c r="C71" s="18" t="n">
        <v>200000</v>
      </c>
      <c r="D71" s="13" t="s">
        <v>160</v>
      </c>
    </row>
    <row r="72" customFormat="false" ht="15" hidden="false" customHeight="true" outlineLevel="0" collapsed="false">
      <c r="A72" s="7" t="s">
        <v>161</v>
      </c>
      <c r="B72" s="9" t="n">
        <f aca="false">SUM(B64:B69)</f>
        <v>185100</v>
      </c>
      <c r="C72" s="7" t="s">
        <v>61</v>
      </c>
      <c r="D72" s="13"/>
    </row>
    <row r="73" customFormat="false" ht="15" hidden="false" customHeight="true" outlineLevel="0" collapsed="false">
      <c r="A73" s="7" t="s">
        <v>162</v>
      </c>
      <c r="B73" s="9" t="n">
        <f aca="false">SUM(C64:C69)</f>
        <v>662100</v>
      </c>
      <c r="C73" s="7" t="s">
        <v>61</v>
      </c>
      <c r="D73" s="13"/>
    </row>
    <row r="74" customFormat="false" ht="15" hidden="false" customHeight="true" outlineLevel="0" collapsed="false">
      <c r="A74" s="7" t="s">
        <v>163</v>
      </c>
      <c r="B74" s="9" t="n">
        <f aca="false">SUM(B70:B71)</f>
        <v>120000</v>
      </c>
      <c r="C74" s="7" t="s">
        <v>61</v>
      </c>
      <c r="D74" s="13"/>
    </row>
    <row r="75" customFormat="false" ht="15" hidden="false" customHeight="true" outlineLevel="0" collapsed="false">
      <c r="A75" s="7" t="s">
        <v>164</v>
      </c>
      <c r="B75" s="9" t="n">
        <f aca="false">SUM(C70:C71)</f>
        <v>250000</v>
      </c>
      <c r="C75" s="7" t="s">
        <v>61</v>
      </c>
      <c r="D75" s="13"/>
    </row>
    <row r="76" customFormat="false" ht="15" hidden="false" customHeight="true" outlineLevel="0" collapsed="false">
      <c r="A76" s="3"/>
      <c r="B76" s="3"/>
      <c r="C76" s="3"/>
      <c r="D76" s="3"/>
    </row>
    <row r="77" customFormat="false" ht="15" hidden="false" customHeight="true" outlineLevel="0" collapsed="false">
      <c r="A77" s="11" t="s">
        <v>165</v>
      </c>
      <c r="B77" s="11" t="s">
        <v>50</v>
      </c>
      <c r="C77" s="11" t="s">
        <v>51</v>
      </c>
      <c r="D77" s="11" t="s">
        <v>52</v>
      </c>
    </row>
    <row r="78" customFormat="false" ht="15" hidden="false" customHeight="true" outlineLevel="0" collapsed="false">
      <c r="A78" s="7" t="s">
        <v>166</v>
      </c>
      <c r="B78" s="16" t="n">
        <v>1250</v>
      </c>
      <c r="C78" s="7" t="s">
        <v>167</v>
      </c>
      <c r="D78" s="13" t="s">
        <v>168</v>
      </c>
    </row>
    <row r="79" customFormat="false" ht="15" hidden="false" customHeight="true" outlineLevel="0" collapsed="false">
      <c r="A79" s="7" t="s">
        <v>169</v>
      </c>
      <c r="B79" s="16" t="n">
        <v>2000</v>
      </c>
      <c r="C79" s="7" t="s">
        <v>99</v>
      </c>
      <c r="D79" s="13" t="s">
        <v>170</v>
      </c>
    </row>
    <row r="80" customFormat="false" ht="15" hidden="false" customHeight="true" outlineLevel="0" collapsed="false">
      <c r="A80" s="7" t="s">
        <v>171</v>
      </c>
      <c r="B80" s="16" t="n">
        <v>300</v>
      </c>
      <c r="C80" s="7" t="s">
        <v>99</v>
      </c>
      <c r="D80" s="13"/>
    </row>
    <row r="81" customFormat="false" ht="15" hidden="false" customHeight="true" outlineLevel="0" collapsed="false">
      <c r="A81" s="7" t="s">
        <v>172</v>
      </c>
      <c r="B81" s="9" t="n">
        <f aca="false">$B$78*30*($B$79*$B$29+$B$80*$B$30)/1000000*(1-$B$34)*$B$6</f>
        <v>62343.75</v>
      </c>
      <c r="C81" s="7" t="s">
        <v>61</v>
      </c>
      <c r="D81" s="13" t="s">
        <v>173</v>
      </c>
    </row>
    <row r="82" customFormat="false" ht="15" hidden="false" customHeight="true" outlineLevel="0" collapsed="false">
      <c r="A82" s="3"/>
      <c r="B82" s="3"/>
      <c r="C82" s="3"/>
      <c r="D82" s="3"/>
    </row>
    <row r="83" customFormat="false" ht="15" hidden="false" customHeight="true" outlineLevel="0" collapsed="false">
      <c r="A83" s="11" t="s">
        <v>174</v>
      </c>
      <c r="B83" s="11" t="s">
        <v>50</v>
      </c>
      <c r="C83" s="11" t="s">
        <v>51</v>
      </c>
      <c r="D83" s="11" t="s">
        <v>52</v>
      </c>
    </row>
    <row r="84" customFormat="false" ht="15" hidden="false" customHeight="true" outlineLevel="0" collapsed="false">
      <c r="A84" s="7" t="s">
        <v>175</v>
      </c>
      <c r="B84" s="18" t="n">
        <v>1500000</v>
      </c>
      <c r="C84" s="7" t="s">
        <v>61</v>
      </c>
      <c r="D84" s="13" t="s">
        <v>176</v>
      </c>
    </row>
    <row r="85" customFormat="false" ht="15" hidden="false" customHeight="true" outlineLevel="0" collapsed="false">
      <c r="A85" s="7" t="s">
        <v>177</v>
      </c>
      <c r="B85" s="16" t="n">
        <v>7</v>
      </c>
      <c r="C85" s="7" t="s">
        <v>178</v>
      </c>
      <c r="D85" s="13"/>
    </row>
    <row r="86" customFormat="false" ht="15" hidden="false" customHeight="true" outlineLevel="0" collapsed="false">
      <c r="A86" s="7" t="s">
        <v>179</v>
      </c>
      <c r="B86" s="18" t="n">
        <v>600000</v>
      </c>
      <c r="C86" s="7" t="s">
        <v>180</v>
      </c>
      <c r="D86" s="13" t="s">
        <v>181</v>
      </c>
    </row>
    <row r="87" customFormat="false" ht="15" hidden="false" customHeight="true" outlineLevel="0" collapsed="false">
      <c r="A87" s="7" t="s">
        <v>182</v>
      </c>
      <c r="B87" s="18" t="n">
        <v>1200000</v>
      </c>
      <c r="C87" s="7" t="s">
        <v>180</v>
      </c>
      <c r="D87" s="13" t="s">
        <v>102</v>
      </c>
    </row>
    <row r="88" customFormat="false" ht="15" hidden="false" customHeight="true" outlineLevel="0" collapsed="false">
      <c r="A88" s="7" t="s">
        <v>183</v>
      </c>
      <c r="B88" s="16" t="n">
        <v>24</v>
      </c>
      <c r="C88" s="7" t="s">
        <v>184</v>
      </c>
      <c r="D88" s="13" t="s">
        <v>185</v>
      </c>
    </row>
    <row r="89" customFormat="false" ht="15" hidden="false" customHeight="true" outlineLevel="0" collapsed="false">
      <c r="A89" s="7" t="s">
        <v>186</v>
      </c>
      <c r="B89" s="9" t="n">
        <f aca="false">$B$87/$B$88</f>
        <v>50000</v>
      </c>
      <c r="C89" s="7" t="s">
        <v>61</v>
      </c>
      <c r="D8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16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187</v>
      </c>
      <c r="B1" s="3"/>
      <c r="C1" s="3"/>
      <c r="D1" s="3"/>
    </row>
    <row r="2" customFormat="false" ht="15" hidden="false" customHeight="true" outlineLevel="0" collapsed="false">
      <c r="A2" s="4" t="s">
        <v>188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11" t="s">
        <v>189</v>
      </c>
      <c r="B4" s="11" t="s">
        <v>16</v>
      </c>
      <c r="C4" s="11" t="s">
        <v>17</v>
      </c>
      <c r="D4" s="11" t="s">
        <v>18</v>
      </c>
    </row>
    <row r="5" customFormat="false" ht="15" hidden="false" customHeight="true" outlineLevel="0" collapsed="false">
      <c r="A5" s="7" t="s">
        <v>190</v>
      </c>
      <c r="B5" s="16" t="n">
        <v>10</v>
      </c>
      <c r="C5" s="16" t="n">
        <v>5</v>
      </c>
      <c r="D5" s="13" t="s">
        <v>191</v>
      </c>
    </row>
    <row r="6" customFormat="false" ht="15" hidden="false" customHeight="true" outlineLevel="0" collapsed="false">
      <c r="A6" s="7" t="s">
        <v>36</v>
      </c>
      <c r="B6" s="17" t="n">
        <v>0.12</v>
      </c>
      <c r="C6" s="17" t="n">
        <v>0.08</v>
      </c>
      <c r="D6" s="13"/>
    </row>
    <row r="7" customFormat="false" ht="15" hidden="false" customHeight="true" outlineLevel="0" collapsed="false">
      <c r="A7" s="7" t="s">
        <v>192</v>
      </c>
      <c r="B7" s="17" t="n">
        <v>0.04</v>
      </c>
      <c r="C7" s="17" t="n">
        <v>0.06</v>
      </c>
      <c r="D7" s="13" t="s">
        <v>193</v>
      </c>
    </row>
    <row r="8" customFormat="false" ht="15" hidden="false" customHeight="true" outlineLevel="0" collapsed="false">
      <c r="A8" s="7" t="s">
        <v>194</v>
      </c>
      <c r="B8" s="17" t="n">
        <v>0.75</v>
      </c>
      <c r="C8" s="17" t="n">
        <v>0.8</v>
      </c>
      <c r="D8" s="13"/>
    </row>
    <row r="9" customFormat="false" ht="15" hidden="false" customHeight="true" outlineLevel="0" collapsed="false">
      <c r="A9" s="7" t="s">
        <v>195</v>
      </c>
      <c r="B9" s="17" t="n">
        <v>0.2</v>
      </c>
      <c r="C9" s="17" t="n">
        <v>0.16</v>
      </c>
      <c r="D9" s="13"/>
    </row>
    <row r="10" customFormat="false" ht="15" hidden="false" customHeight="true" outlineLevel="0" collapsed="false">
      <c r="A10" s="7" t="s">
        <v>196</v>
      </c>
      <c r="B10" s="10" t="n">
        <f aca="false">1-B8-B9</f>
        <v>0.05</v>
      </c>
      <c r="C10" s="10" t="n">
        <f aca="false">1-C8-C9</f>
        <v>0.04</v>
      </c>
      <c r="D10" s="13" t="s">
        <v>197</v>
      </c>
    </row>
    <row r="11" customFormat="false" ht="15" hidden="false" customHeight="true" outlineLevel="0" collapsed="false">
      <c r="A11" s="7" t="s">
        <v>198</v>
      </c>
      <c r="B11" s="17" t="n">
        <v>0.25</v>
      </c>
      <c r="C11" s="17" t="n">
        <v>0.15</v>
      </c>
      <c r="D11" s="13" t="s">
        <v>199</v>
      </c>
    </row>
    <row r="12" customFormat="false" ht="15" hidden="false" customHeight="true" outlineLevel="0" collapsed="false">
      <c r="A12" s="7" t="s">
        <v>200</v>
      </c>
      <c r="B12" s="18" t="n">
        <v>25000</v>
      </c>
      <c r="C12" s="18" t="n">
        <v>40000</v>
      </c>
      <c r="D12" s="13" t="s">
        <v>201</v>
      </c>
    </row>
    <row r="13" customFormat="false" ht="15" hidden="false" customHeight="true" outlineLevel="0" collapsed="false">
      <c r="A13" s="7" t="s">
        <v>202</v>
      </c>
      <c r="B13" s="21" t="n">
        <f aca="false">1-B11*Supuestos!$B$16</f>
        <v>0.975</v>
      </c>
      <c r="C13" s="21" t="n">
        <f aca="false">1-C11*Supuestos!$B$16</f>
        <v>0.985</v>
      </c>
      <c r="D13" s="1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4"/>
    <col collapsed="false" customWidth="true" hidden="false" outlineLevel="0" max="26" min="3" style="1" width="13"/>
  </cols>
  <sheetData>
    <row r="1" customFormat="false" ht="17.25" hidden="false" customHeight="true" outlineLevel="0" collapsed="false">
      <c r="A1" s="2" t="s">
        <v>204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s">
        <v>205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14" t="s">
        <v>206</v>
      </c>
      <c r="B4" s="3"/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  <c r="M4" s="22" t="n">
        <v>11</v>
      </c>
      <c r="N4" s="22" t="n">
        <v>12</v>
      </c>
      <c r="O4" s="22" t="n">
        <v>13</v>
      </c>
      <c r="P4" s="22" t="n">
        <v>14</v>
      </c>
      <c r="Q4" s="22" t="n">
        <v>15</v>
      </c>
      <c r="R4" s="22" t="n">
        <v>16</v>
      </c>
      <c r="S4" s="22" t="n">
        <v>17</v>
      </c>
      <c r="T4" s="22" t="n">
        <v>18</v>
      </c>
      <c r="U4" s="22" t="n">
        <v>19</v>
      </c>
      <c r="V4" s="22" t="n">
        <v>20</v>
      </c>
      <c r="W4" s="22" t="n">
        <v>21</v>
      </c>
      <c r="X4" s="22" t="n">
        <v>22</v>
      </c>
      <c r="Y4" s="22" t="n">
        <v>23</v>
      </c>
      <c r="Z4" s="22" t="n">
        <v>24</v>
      </c>
    </row>
    <row r="5" customFormat="false" ht="15" hidden="false" customHeight="true" outlineLevel="0" collapsed="false">
      <c r="A5" s="14" t="s">
        <v>207</v>
      </c>
      <c r="B5" s="3"/>
      <c r="C5" s="23" t="str">
        <f aca="false">"Año "&amp;ROUNDUP(C4/12,0)</f>
        <v>Año 1</v>
      </c>
      <c r="D5" s="23" t="str">
        <f aca="false">"Año "&amp;ROUNDUP(D4/12,0)</f>
        <v>Año 1</v>
      </c>
      <c r="E5" s="23" t="str">
        <f aca="false">"Año "&amp;ROUNDUP(E4/12,0)</f>
        <v>Año 1</v>
      </c>
      <c r="F5" s="23" t="str">
        <f aca="false">"Año "&amp;ROUNDUP(F4/12,0)</f>
        <v>Año 1</v>
      </c>
      <c r="G5" s="23" t="str">
        <f aca="false">"Año "&amp;ROUNDUP(G4/12,0)</f>
        <v>Año 1</v>
      </c>
      <c r="H5" s="23" t="str">
        <f aca="false">"Año "&amp;ROUNDUP(H4/12,0)</f>
        <v>Año 1</v>
      </c>
      <c r="I5" s="23" t="str">
        <f aca="false">"Año "&amp;ROUNDUP(I4/12,0)</f>
        <v>Año 1</v>
      </c>
      <c r="J5" s="23" t="str">
        <f aca="false">"Año "&amp;ROUNDUP(J4/12,0)</f>
        <v>Año 1</v>
      </c>
      <c r="K5" s="23" t="str">
        <f aca="false">"Año "&amp;ROUNDUP(K4/12,0)</f>
        <v>Año 1</v>
      </c>
      <c r="L5" s="23" t="str">
        <f aca="false">"Año "&amp;ROUNDUP(L4/12,0)</f>
        <v>Año 1</v>
      </c>
      <c r="M5" s="23" t="str">
        <f aca="false">"Año "&amp;ROUNDUP(M4/12,0)</f>
        <v>Año 1</v>
      </c>
      <c r="N5" s="23" t="str">
        <f aca="false">"Año "&amp;ROUNDUP(N4/12,0)</f>
        <v>Año 1</v>
      </c>
      <c r="O5" s="23" t="str">
        <f aca="false">"Año "&amp;ROUNDUP(O4/12,0)</f>
        <v>Año 2</v>
      </c>
      <c r="P5" s="23" t="str">
        <f aca="false">"Año "&amp;ROUNDUP(P4/12,0)</f>
        <v>Año 2</v>
      </c>
      <c r="Q5" s="23" t="str">
        <f aca="false">"Año "&amp;ROUNDUP(Q4/12,0)</f>
        <v>Año 2</v>
      </c>
      <c r="R5" s="23" t="str">
        <f aca="false">"Año "&amp;ROUNDUP(R4/12,0)</f>
        <v>Año 2</v>
      </c>
      <c r="S5" s="23" t="str">
        <f aca="false">"Año "&amp;ROUNDUP(S4/12,0)</f>
        <v>Año 2</v>
      </c>
      <c r="T5" s="23" t="str">
        <f aca="false">"Año "&amp;ROUNDUP(T4/12,0)</f>
        <v>Año 2</v>
      </c>
      <c r="U5" s="23" t="str">
        <f aca="false">"Año "&amp;ROUNDUP(U4/12,0)</f>
        <v>Año 2</v>
      </c>
      <c r="V5" s="23" t="str">
        <f aca="false">"Año "&amp;ROUNDUP(V4/12,0)</f>
        <v>Año 2</v>
      </c>
      <c r="W5" s="23" t="str">
        <f aca="false">"Año "&amp;ROUNDUP(W4/12,0)</f>
        <v>Año 2</v>
      </c>
      <c r="X5" s="23" t="str">
        <f aca="false">"Año "&amp;ROUNDUP(X4/12,0)</f>
        <v>Año 2</v>
      </c>
      <c r="Y5" s="23" t="str">
        <f aca="false">"Año "&amp;ROUNDUP(Y4/12,0)</f>
        <v>Año 2</v>
      </c>
      <c r="Z5" s="23" t="str">
        <f aca="false">"Año "&amp;ROUNDUP(Z4/12,0)</f>
        <v>Año 2</v>
      </c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11" t="s">
        <v>208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5" hidden="false" customHeight="true" outlineLevel="0" collapsed="false">
      <c r="A8" s="7" t="s">
        <v>209</v>
      </c>
      <c r="B8" s="3"/>
      <c r="C8" s="25" t="n">
        <f aca="false">Escenarios!$B$5*(1+Escenarios!$B$6)^(C$4-1)</f>
        <v>10</v>
      </c>
      <c r="D8" s="25" t="n">
        <f aca="false">Escenarios!$B$5*(1+Escenarios!$B$6)^(D$4-1)</f>
        <v>11.2</v>
      </c>
      <c r="E8" s="25" t="n">
        <f aca="false">Escenarios!$B$5*(1+Escenarios!$B$6)^(E$4-1)</f>
        <v>12.544</v>
      </c>
      <c r="F8" s="25" t="n">
        <f aca="false">Escenarios!$B$5*(1+Escenarios!$B$6)^(F$4-1)</f>
        <v>14.04928</v>
      </c>
      <c r="G8" s="25" t="n">
        <f aca="false">Escenarios!$B$5*(1+Escenarios!$B$6)^(G$4-1)</f>
        <v>15.7351936</v>
      </c>
      <c r="H8" s="25" t="n">
        <f aca="false">Escenarios!$B$5*(1+Escenarios!$B$6)^(H$4-1)</f>
        <v>17.623416832</v>
      </c>
      <c r="I8" s="25" t="n">
        <f aca="false">Escenarios!$B$5*(1+Escenarios!$B$6)^(I$4-1)</f>
        <v>19.73822685184</v>
      </c>
      <c r="J8" s="25" t="n">
        <f aca="false">Escenarios!$B$5*(1+Escenarios!$B$6)^(J$4-1)</f>
        <v>22.1068140740608</v>
      </c>
      <c r="K8" s="25" t="n">
        <f aca="false">Escenarios!$B$5*(1+Escenarios!$B$6)^(K$4-1)</f>
        <v>24.7596317629481</v>
      </c>
      <c r="L8" s="25" t="n">
        <f aca="false">Escenarios!$B$5*(1+Escenarios!$B$6)^(L$4-1)</f>
        <v>27.7307875745019</v>
      </c>
      <c r="M8" s="25" t="n">
        <f aca="false">Escenarios!$B$5*(1+Escenarios!$B$6)^(M$4-1)</f>
        <v>31.0584820834421</v>
      </c>
      <c r="N8" s="25" t="n">
        <f aca="false">Escenarios!$B$5*(1+Escenarios!$B$6)^(N$4-1)</f>
        <v>34.7854999334552</v>
      </c>
      <c r="O8" s="25" t="n">
        <f aca="false">Escenarios!$B$5*(1+Escenarios!$B$6)^(O$4-1)</f>
        <v>38.9597599254698</v>
      </c>
      <c r="P8" s="25" t="n">
        <f aca="false">Escenarios!$B$5*(1+Escenarios!$B$6)^(P$4-1)</f>
        <v>43.6349311165262</v>
      </c>
      <c r="Q8" s="25" t="n">
        <f aca="false">Escenarios!$B$5*(1+Escenarios!$B$6)^(Q$4-1)</f>
        <v>48.8711228505093</v>
      </c>
      <c r="R8" s="25" t="n">
        <f aca="false">Escenarios!$B$5*(1+Escenarios!$B$6)^(R$4-1)</f>
        <v>54.7356575925705</v>
      </c>
      <c r="S8" s="25" t="n">
        <f aca="false">Escenarios!$B$5*(1+Escenarios!$B$6)^(S$4-1)</f>
        <v>61.3039365036789</v>
      </c>
      <c r="T8" s="25" t="n">
        <f aca="false">Escenarios!$B$5*(1+Escenarios!$B$6)^(T$4-1)</f>
        <v>68.6604088841204</v>
      </c>
      <c r="U8" s="25" t="n">
        <f aca="false">Escenarios!$B$5*(1+Escenarios!$B$6)^(U$4-1)</f>
        <v>76.8996579502148</v>
      </c>
      <c r="V8" s="25" t="n">
        <f aca="false">Escenarios!$B$5*(1+Escenarios!$B$6)^(V$4-1)</f>
        <v>86.1276169042406</v>
      </c>
      <c r="W8" s="25" t="n">
        <f aca="false">Escenarios!$B$5*(1+Escenarios!$B$6)^(W$4-1)</f>
        <v>96.4629309327495</v>
      </c>
      <c r="X8" s="25" t="n">
        <f aca="false">Escenarios!$B$5*(1+Escenarios!$B$6)^(X$4-1)</f>
        <v>108.038482644679</v>
      </c>
      <c r="Y8" s="25" t="n">
        <f aca="false">Escenarios!$B$5*(1+Escenarios!$B$6)^(Y$4-1)</f>
        <v>121.003100562041</v>
      </c>
      <c r="Z8" s="25" t="n">
        <f aca="false">Escenarios!$B$5*(1+Escenarios!$B$6)^(Z$4-1)</f>
        <v>135.523472629486</v>
      </c>
    </row>
    <row r="9" customFormat="false" ht="15" hidden="false" customHeight="true" outlineLevel="0" collapsed="false">
      <c r="A9" s="14" t="s">
        <v>210</v>
      </c>
      <c r="B9" s="3"/>
      <c r="C9" s="26" t="n">
        <f aca="false">C8</f>
        <v>10</v>
      </c>
      <c r="D9" s="26" t="n">
        <f aca="false">C9*(1-Escenarios!$B$7)+D8</f>
        <v>20.8</v>
      </c>
      <c r="E9" s="26" t="n">
        <f aca="false">D9*(1-Escenarios!$B$7)+E8</f>
        <v>32.512</v>
      </c>
      <c r="F9" s="26" t="n">
        <f aca="false">E9*(1-Escenarios!$B$7)+F8</f>
        <v>45.2608</v>
      </c>
      <c r="G9" s="26" t="n">
        <f aca="false">F9*(1-Escenarios!$B$7)+G8</f>
        <v>59.1855616</v>
      </c>
      <c r="H9" s="26" t="n">
        <f aca="false">G9*(1-Escenarios!$B$7)+H8</f>
        <v>74.441555968</v>
      </c>
      <c r="I9" s="26" t="n">
        <f aca="false">H9*(1-Escenarios!$B$7)+I8</f>
        <v>91.20212058112</v>
      </c>
      <c r="J9" s="26" t="n">
        <f aca="false">I9*(1-Escenarios!$B$7)+J8</f>
        <v>109.660849831936</v>
      </c>
      <c r="K9" s="26" t="n">
        <f aca="false">J9*(1-Escenarios!$B$7)+K8</f>
        <v>130.034047601607</v>
      </c>
      <c r="L9" s="26" t="n">
        <f aca="false">K9*(1-Escenarios!$B$7)+L8</f>
        <v>152.563473272044</v>
      </c>
      <c r="M9" s="26" t="n">
        <f aca="false">L9*(1-Escenarios!$B$7)+M8</f>
        <v>177.519416424605</v>
      </c>
      <c r="N9" s="26" t="n">
        <f aca="false">M9*(1-Escenarios!$B$7)+N8</f>
        <v>205.204139701076</v>
      </c>
      <c r="O9" s="26" t="n">
        <f aca="false">N9*(1-Escenarios!$B$7)+O8</f>
        <v>235.955734038502</v>
      </c>
      <c r="P9" s="26" t="n">
        <f aca="false">O9*(1-Escenarios!$B$7)+P8</f>
        <v>270.152435793489</v>
      </c>
      <c r="Q9" s="26" t="n">
        <f aca="false">P9*(1-Escenarios!$B$7)+Q8</f>
        <v>308.217461212258</v>
      </c>
      <c r="R9" s="26" t="n">
        <f aca="false">Q9*(1-Escenarios!$B$7)+R8</f>
        <v>350.624420356338</v>
      </c>
      <c r="S9" s="26" t="n">
        <f aca="false">R9*(1-Escenarios!$B$7)+S8</f>
        <v>397.903380045764</v>
      </c>
      <c r="T9" s="26" t="n">
        <f aca="false">S9*(1-Escenarios!$B$7)+T8</f>
        <v>450.647653728054</v>
      </c>
      <c r="U9" s="26" t="n">
        <f aca="false">T9*(1-Escenarios!$B$7)+U8</f>
        <v>509.521405529146</v>
      </c>
      <c r="V9" s="26" t="n">
        <f aca="false">U9*(1-Escenarios!$B$7)+V8</f>
        <v>575.268166212221</v>
      </c>
      <c r="W9" s="26" t="n">
        <f aca="false">V9*(1-Escenarios!$B$7)+W8</f>
        <v>648.720370496482</v>
      </c>
      <c r="X9" s="26" t="n">
        <f aca="false">W9*(1-Escenarios!$B$7)+X8</f>
        <v>730.810038321302</v>
      </c>
      <c r="Y9" s="26" t="n">
        <f aca="false">X9*(1-Escenarios!$B$7)+Y8</f>
        <v>822.580737350491</v>
      </c>
      <c r="Z9" s="26" t="n">
        <f aca="false">Y9*(1-Escenarios!$B$7)+Z8</f>
        <v>925.200980485957</v>
      </c>
    </row>
    <row r="10" customFormat="false" ht="15" hidden="false" customHeight="true" outlineLevel="0" collapsed="false">
      <c r="A10" s="7" t="s">
        <v>211</v>
      </c>
      <c r="B10" s="3"/>
      <c r="C10" s="25" t="n">
        <f aca="false">C9*Escenarios!$B$8</f>
        <v>7.5</v>
      </c>
      <c r="D10" s="25" t="n">
        <f aca="false">D9*Escenarios!$B$8</f>
        <v>15.6</v>
      </c>
      <c r="E10" s="25" t="n">
        <f aca="false">E9*Escenarios!$B$8</f>
        <v>24.384</v>
      </c>
      <c r="F10" s="25" t="n">
        <f aca="false">F9*Escenarios!$B$8</f>
        <v>33.9456</v>
      </c>
      <c r="G10" s="25" t="n">
        <f aca="false">G9*Escenarios!$B$8</f>
        <v>44.3891712</v>
      </c>
      <c r="H10" s="25" t="n">
        <f aca="false">H9*Escenarios!$B$8</f>
        <v>55.831166976</v>
      </c>
      <c r="I10" s="25" t="n">
        <f aca="false">I9*Escenarios!$B$8</f>
        <v>68.40159043584</v>
      </c>
      <c r="J10" s="25" t="n">
        <f aca="false">J9*Escenarios!$B$8</f>
        <v>82.245637373952</v>
      </c>
      <c r="K10" s="25" t="n">
        <f aca="false">K9*Escenarios!$B$8</f>
        <v>97.525535701205</v>
      </c>
      <c r="L10" s="25" t="n">
        <f aca="false">L9*Escenarios!$B$8</f>
        <v>114.422604954033</v>
      </c>
      <c r="M10" s="25" t="n">
        <f aca="false">M9*Escenarios!$B$8</f>
        <v>133.139562318454</v>
      </c>
      <c r="N10" s="25" t="n">
        <f aca="false">N9*Escenarios!$B$8</f>
        <v>153.903104775807</v>
      </c>
      <c r="O10" s="25" t="n">
        <f aca="false">O9*Escenarios!$B$8</f>
        <v>176.966800528877</v>
      </c>
      <c r="P10" s="25" t="n">
        <f aca="false">P9*Escenarios!$B$8</f>
        <v>202.614326845116</v>
      </c>
      <c r="Q10" s="25" t="n">
        <f aca="false">Q9*Escenarios!$B$8</f>
        <v>231.163095909194</v>
      </c>
      <c r="R10" s="25" t="n">
        <f aca="false">R9*Escenarios!$B$8</f>
        <v>262.968315267254</v>
      </c>
      <c r="S10" s="25" t="n">
        <f aca="false">S9*Escenarios!$B$8</f>
        <v>298.427535034323</v>
      </c>
      <c r="T10" s="25" t="n">
        <f aca="false">T9*Escenarios!$B$8</f>
        <v>337.98574029604</v>
      </c>
      <c r="U10" s="25" t="n">
        <f aca="false">U9*Escenarios!$B$8</f>
        <v>382.14105414686</v>
      </c>
      <c r="V10" s="25" t="n">
        <f aca="false">V9*Escenarios!$B$8</f>
        <v>431.451124659166</v>
      </c>
      <c r="W10" s="25" t="n">
        <f aca="false">W9*Escenarios!$B$8</f>
        <v>486.540277872361</v>
      </c>
      <c r="X10" s="25" t="n">
        <f aca="false">X9*Escenarios!$B$8</f>
        <v>548.107528740976</v>
      </c>
      <c r="Y10" s="25" t="n">
        <f aca="false">Y9*Escenarios!$B$8</f>
        <v>616.935553012868</v>
      </c>
      <c r="Z10" s="25" t="n">
        <f aca="false">Z9*Escenarios!$B$8</f>
        <v>693.900735364468</v>
      </c>
    </row>
    <row r="11" customFormat="false" ht="15" hidden="false" customHeight="true" outlineLevel="0" collapsed="false">
      <c r="A11" s="7" t="s">
        <v>212</v>
      </c>
      <c r="B11" s="3"/>
      <c r="C11" s="25" t="n">
        <f aca="false">C9*Escenarios!$B$9</f>
        <v>2</v>
      </c>
      <c r="D11" s="25" t="n">
        <f aca="false">D9*Escenarios!$B$9</f>
        <v>4.16</v>
      </c>
      <c r="E11" s="25" t="n">
        <f aca="false">E9*Escenarios!$B$9</f>
        <v>6.5024</v>
      </c>
      <c r="F11" s="25" t="n">
        <f aca="false">F9*Escenarios!$B$9</f>
        <v>9.05216</v>
      </c>
      <c r="G11" s="25" t="n">
        <f aca="false">G9*Escenarios!$B$9</f>
        <v>11.83711232</v>
      </c>
      <c r="H11" s="25" t="n">
        <f aca="false">H9*Escenarios!$B$9</f>
        <v>14.8883111936</v>
      </c>
      <c r="I11" s="25" t="n">
        <f aca="false">I9*Escenarios!$B$9</f>
        <v>18.240424116224</v>
      </c>
      <c r="J11" s="25" t="n">
        <f aca="false">J9*Escenarios!$B$9</f>
        <v>21.9321699663872</v>
      </c>
      <c r="K11" s="25" t="n">
        <f aca="false">K9*Escenarios!$B$9</f>
        <v>26.0068095203213</v>
      </c>
      <c r="L11" s="25" t="n">
        <f aca="false">L9*Escenarios!$B$9</f>
        <v>30.5126946544089</v>
      </c>
      <c r="M11" s="25" t="n">
        <f aca="false">M9*Escenarios!$B$9</f>
        <v>35.5038832849209</v>
      </c>
      <c r="N11" s="25" t="n">
        <f aca="false">N9*Escenarios!$B$9</f>
        <v>41.0408279402151</v>
      </c>
      <c r="O11" s="25" t="n">
        <f aca="false">O9*Escenarios!$B$9</f>
        <v>47.1911468077005</v>
      </c>
      <c r="P11" s="25" t="n">
        <f aca="false">P9*Escenarios!$B$9</f>
        <v>54.0304871586977</v>
      </c>
      <c r="Q11" s="25" t="n">
        <f aca="false">Q9*Escenarios!$B$9</f>
        <v>61.6434922424517</v>
      </c>
      <c r="R11" s="25" t="n">
        <f aca="false">R9*Escenarios!$B$9</f>
        <v>70.1248840712677</v>
      </c>
      <c r="S11" s="25" t="n">
        <f aca="false">S9*Escenarios!$B$9</f>
        <v>79.5806760091528</v>
      </c>
      <c r="T11" s="25" t="n">
        <f aca="false">T9*Escenarios!$B$9</f>
        <v>90.1295307456107</v>
      </c>
      <c r="U11" s="25" t="n">
        <f aca="false">U9*Escenarios!$B$9</f>
        <v>101.904281105829</v>
      </c>
      <c r="V11" s="25" t="n">
        <f aca="false">V9*Escenarios!$B$9</f>
        <v>115.053633242444</v>
      </c>
      <c r="W11" s="25" t="n">
        <f aca="false">W9*Escenarios!$B$9</f>
        <v>129.744074099296</v>
      </c>
      <c r="X11" s="25" t="n">
        <f aca="false">X9*Escenarios!$B$9</f>
        <v>146.16200766426</v>
      </c>
      <c r="Y11" s="25" t="n">
        <f aca="false">Y9*Escenarios!$B$9</f>
        <v>164.516147470098</v>
      </c>
      <c r="Z11" s="25" t="n">
        <f aca="false">Z9*Escenarios!$B$9</f>
        <v>185.040196097191</v>
      </c>
    </row>
    <row r="12" customFormat="false" ht="15" hidden="false" customHeight="true" outlineLevel="0" collapsed="false">
      <c r="A12" s="7" t="s">
        <v>213</v>
      </c>
      <c r="B12" s="3"/>
      <c r="C12" s="25" t="n">
        <f aca="false">MIN(C11,Supuestos!$B$13)</f>
        <v>2</v>
      </c>
      <c r="D12" s="25" t="n">
        <f aca="false">MIN(D11,Supuestos!$B$13)</f>
        <v>4.16</v>
      </c>
      <c r="E12" s="25" t="n">
        <f aca="false">MIN(E11,Supuestos!$B$13)</f>
        <v>6.5024</v>
      </c>
      <c r="F12" s="25" t="n">
        <f aca="false">MIN(F11,Supuestos!$B$13)</f>
        <v>9.05216</v>
      </c>
      <c r="G12" s="25" t="n">
        <f aca="false">MIN(G11,Supuestos!$B$13)</f>
        <v>11.83711232</v>
      </c>
      <c r="H12" s="25" t="n">
        <f aca="false">MIN(H11,Supuestos!$B$13)</f>
        <v>14.8883111936</v>
      </c>
      <c r="I12" s="25" t="n">
        <f aca="false">MIN(I11,Supuestos!$B$13)</f>
        <v>18.240424116224</v>
      </c>
      <c r="J12" s="25" t="n">
        <f aca="false">MIN(J11,Supuestos!$B$13)</f>
        <v>21.9321699663872</v>
      </c>
      <c r="K12" s="25" t="n">
        <f aca="false">MIN(K11,Supuestos!$B$13)</f>
        <v>26.0068095203213</v>
      </c>
      <c r="L12" s="25" t="n">
        <f aca="false">MIN(L11,Supuestos!$B$13)</f>
        <v>30.5126946544089</v>
      </c>
      <c r="M12" s="25" t="n">
        <f aca="false">MIN(M11,Supuestos!$B$13)</f>
        <v>35.5038832849209</v>
      </c>
      <c r="N12" s="25" t="n">
        <f aca="false">MIN(N11,Supuestos!$B$13)</f>
        <v>41.0408279402151</v>
      </c>
      <c r="O12" s="25" t="n">
        <f aca="false">MIN(O11,Supuestos!$B$13)</f>
        <v>47.1911468077005</v>
      </c>
      <c r="P12" s="25" t="n">
        <f aca="false">MIN(P11,Supuestos!$B$13)</f>
        <v>54.0304871586977</v>
      </c>
      <c r="Q12" s="25" t="n">
        <f aca="false">MIN(Q11,Supuestos!$B$13)</f>
        <v>61.6434922424517</v>
      </c>
      <c r="R12" s="25" t="n">
        <f aca="false">MIN(R11,Supuestos!$B$13)</f>
        <v>70.1248840712677</v>
      </c>
      <c r="S12" s="25" t="n">
        <f aca="false">MIN(S11,Supuestos!$B$13)</f>
        <v>79.5806760091528</v>
      </c>
      <c r="T12" s="25" t="n">
        <f aca="false">MIN(T11,Supuestos!$B$13)</f>
        <v>90.1295307456107</v>
      </c>
      <c r="U12" s="25" t="n">
        <f aca="false">MIN(U11,Supuestos!$B$13)</f>
        <v>100</v>
      </c>
      <c r="V12" s="25" t="n">
        <f aca="false">MIN(V11,Supuestos!$B$13)</f>
        <v>100</v>
      </c>
      <c r="W12" s="25" t="n">
        <f aca="false">MIN(W11,Supuestos!$B$13)</f>
        <v>100</v>
      </c>
      <c r="X12" s="25" t="n">
        <f aca="false">MIN(X11,Supuestos!$B$13)</f>
        <v>100</v>
      </c>
      <c r="Y12" s="25" t="n">
        <f aca="false">MIN(Y11,Supuestos!$B$13)</f>
        <v>100</v>
      </c>
      <c r="Z12" s="25" t="n">
        <f aca="false">MIN(Z11,Supuestos!$B$13)</f>
        <v>100</v>
      </c>
    </row>
    <row r="13" customFormat="false" ht="15" hidden="false" customHeight="true" outlineLevel="0" collapsed="false">
      <c r="A13" s="7" t="s">
        <v>214</v>
      </c>
      <c r="B13" s="3"/>
      <c r="C13" s="25" t="n">
        <f aca="false">C11-C12</f>
        <v>0</v>
      </c>
      <c r="D13" s="25" t="n">
        <f aca="false">D11-D12</f>
        <v>0</v>
      </c>
      <c r="E13" s="25" t="n">
        <f aca="false">E11-E12</f>
        <v>0</v>
      </c>
      <c r="F13" s="25" t="n">
        <f aca="false">F11-F12</f>
        <v>0</v>
      </c>
      <c r="G13" s="25" t="n">
        <f aca="false">G11-G12</f>
        <v>0</v>
      </c>
      <c r="H13" s="25" t="n">
        <f aca="false">H11-H12</f>
        <v>0</v>
      </c>
      <c r="I13" s="25" t="n">
        <f aca="false">I11-I12</f>
        <v>0</v>
      </c>
      <c r="J13" s="25" t="n">
        <f aca="false">J11-J12</f>
        <v>0</v>
      </c>
      <c r="K13" s="25" t="n">
        <f aca="false">K11-K12</f>
        <v>0</v>
      </c>
      <c r="L13" s="25" t="n">
        <f aca="false">L11-L12</f>
        <v>0</v>
      </c>
      <c r="M13" s="25" t="n">
        <f aca="false">M11-M12</f>
        <v>0</v>
      </c>
      <c r="N13" s="25" t="n">
        <f aca="false">N11-N12</f>
        <v>0</v>
      </c>
      <c r="O13" s="25" t="n">
        <f aca="false">O11-O12</f>
        <v>0</v>
      </c>
      <c r="P13" s="25" t="n">
        <f aca="false">P11-P12</f>
        <v>0</v>
      </c>
      <c r="Q13" s="25" t="n">
        <f aca="false">Q11-Q12</f>
        <v>0</v>
      </c>
      <c r="R13" s="25" t="n">
        <f aca="false">R11-R12</f>
        <v>0</v>
      </c>
      <c r="S13" s="25" t="n">
        <f aca="false">S11-S12</f>
        <v>0</v>
      </c>
      <c r="T13" s="25" t="n">
        <f aca="false">T11-T12</f>
        <v>0</v>
      </c>
      <c r="U13" s="25" t="n">
        <f aca="false">U11-U12</f>
        <v>1.90428110582928</v>
      </c>
      <c r="V13" s="25" t="n">
        <f aca="false">V11-V12</f>
        <v>15.0536332424442</v>
      </c>
      <c r="W13" s="25" t="n">
        <f aca="false">W11-W12</f>
        <v>29.7440740992963</v>
      </c>
      <c r="X13" s="25" t="n">
        <f aca="false">X11-X12</f>
        <v>46.1620076642604</v>
      </c>
      <c r="Y13" s="25" t="n">
        <f aca="false">Y11-Y12</f>
        <v>64.5161474700982</v>
      </c>
      <c r="Z13" s="25" t="n">
        <f aca="false">Z11-Z12</f>
        <v>85.0401960971914</v>
      </c>
    </row>
    <row r="14" customFormat="false" ht="15" hidden="false" customHeight="true" outlineLevel="0" collapsed="false">
      <c r="A14" s="7" t="s">
        <v>215</v>
      </c>
      <c r="B14" s="3"/>
      <c r="C14" s="25" t="n">
        <f aca="false">C9*Escenarios!$B$10</f>
        <v>0.5</v>
      </c>
      <c r="D14" s="25" t="n">
        <f aca="false">D9*Escenarios!$B$10</f>
        <v>1.04</v>
      </c>
      <c r="E14" s="25" t="n">
        <f aca="false">E9*Escenarios!$B$10</f>
        <v>1.6256</v>
      </c>
      <c r="F14" s="25" t="n">
        <f aca="false">F9*Escenarios!$B$10</f>
        <v>2.26304</v>
      </c>
      <c r="G14" s="25" t="n">
        <f aca="false">G9*Escenarios!$B$10</f>
        <v>2.95927808</v>
      </c>
      <c r="H14" s="25" t="n">
        <f aca="false">H9*Escenarios!$B$10</f>
        <v>3.7220777984</v>
      </c>
      <c r="I14" s="25" t="n">
        <f aca="false">I9*Escenarios!$B$10</f>
        <v>4.560106029056</v>
      </c>
      <c r="J14" s="25" t="n">
        <f aca="false">J9*Escenarios!$B$10</f>
        <v>5.4830424915968</v>
      </c>
      <c r="K14" s="25" t="n">
        <f aca="false">K9*Escenarios!$B$10</f>
        <v>6.50170238008033</v>
      </c>
      <c r="L14" s="25" t="n">
        <f aca="false">L9*Escenarios!$B$10</f>
        <v>7.62817366360222</v>
      </c>
      <c r="M14" s="25" t="n">
        <f aca="false">M9*Escenarios!$B$10</f>
        <v>8.87597082123023</v>
      </c>
      <c r="N14" s="25" t="n">
        <f aca="false">N9*Escenarios!$B$10</f>
        <v>10.2602069850538</v>
      </c>
      <c r="O14" s="25" t="n">
        <f aca="false">O9*Escenarios!$B$10</f>
        <v>11.7977867019251</v>
      </c>
      <c r="P14" s="25" t="n">
        <f aca="false">P9*Escenarios!$B$10</f>
        <v>13.5076217896744</v>
      </c>
      <c r="Q14" s="25" t="n">
        <f aca="false">Q9*Escenarios!$B$10</f>
        <v>15.4108730606129</v>
      </c>
      <c r="R14" s="25" t="n">
        <f aca="false">R9*Escenarios!$B$10</f>
        <v>17.5312210178169</v>
      </c>
      <c r="S14" s="25" t="n">
        <f aca="false">S9*Escenarios!$B$10</f>
        <v>19.8951690022882</v>
      </c>
      <c r="T14" s="25" t="n">
        <f aca="false">T9*Escenarios!$B$10</f>
        <v>22.5323826864027</v>
      </c>
      <c r="U14" s="25" t="n">
        <f aca="false">U9*Escenarios!$B$10</f>
        <v>25.4760702764573</v>
      </c>
      <c r="V14" s="25" t="n">
        <f aca="false">V9*Escenarios!$B$10</f>
        <v>28.763408310611</v>
      </c>
      <c r="W14" s="25" t="n">
        <f aca="false">W9*Escenarios!$B$10</f>
        <v>32.4360185248241</v>
      </c>
      <c r="X14" s="25" t="n">
        <f aca="false">X9*Escenarios!$B$10</f>
        <v>36.5405019160651</v>
      </c>
      <c r="Y14" s="25" t="n">
        <f aca="false">Y9*Escenarios!$B$10</f>
        <v>41.1290368675245</v>
      </c>
      <c r="Z14" s="25" t="n">
        <f aca="false">Z9*Escenarios!$B$10</f>
        <v>46.2600490242978</v>
      </c>
    </row>
    <row r="15" customFormat="false" ht="15" hidden="false" customHeight="true" outlineLevel="0" collapsed="false">
      <c r="A15" s="7" t="s">
        <v>216</v>
      </c>
      <c r="B15" s="3"/>
      <c r="C15" s="25" t="n">
        <f aca="false">C14*Supuestos!$B$15</f>
        <v>3</v>
      </c>
      <c r="D15" s="25" t="n">
        <f aca="false">D14*Supuestos!$B$15</f>
        <v>6.24</v>
      </c>
      <c r="E15" s="25" t="n">
        <f aca="false">E14*Supuestos!$B$15</f>
        <v>9.7536</v>
      </c>
      <c r="F15" s="25" t="n">
        <f aca="false">F14*Supuestos!$B$15</f>
        <v>13.57824</v>
      </c>
      <c r="G15" s="25" t="n">
        <f aca="false">G14*Supuestos!$B$15</f>
        <v>17.75566848</v>
      </c>
      <c r="H15" s="25" t="n">
        <f aca="false">H14*Supuestos!$B$15</f>
        <v>22.3324667904</v>
      </c>
      <c r="I15" s="25" t="n">
        <f aca="false">I14*Supuestos!$B$15</f>
        <v>27.360636174336</v>
      </c>
      <c r="J15" s="25" t="n">
        <f aca="false">J14*Supuestos!$B$15</f>
        <v>32.8982549495808</v>
      </c>
      <c r="K15" s="25" t="n">
        <f aca="false">K14*Supuestos!$B$15</f>
        <v>39.010214280482</v>
      </c>
      <c r="L15" s="25" t="n">
        <f aca="false">L14*Supuestos!$B$15</f>
        <v>45.7690419816133</v>
      </c>
      <c r="M15" s="25" t="n">
        <f aca="false">M14*Supuestos!$B$15</f>
        <v>53.2558249273814</v>
      </c>
      <c r="N15" s="25" t="n">
        <f aca="false">N14*Supuestos!$B$15</f>
        <v>61.5612419103227</v>
      </c>
      <c r="O15" s="25" t="n">
        <f aca="false">O14*Supuestos!$B$15</f>
        <v>70.7867202115507</v>
      </c>
      <c r="P15" s="25" t="n">
        <f aca="false">P14*Supuestos!$B$15</f>
        <v>81.0457307380465</v>
      </c>
      <c r="Q15" s="25" t="n">
        <f aca="false">Q14*Supuestos!$B$15</f>
        <v>92.4652383636775</v>
      </c>
      <c r="R15" s="25" t="n">
        <f aca="false">R14*Supuestos!$B$15</f>
        <v>105.187326106902</v>
      </c>
      <c r="S15" s="25" t="n">
        <f aca="false">S14*Supuestos!$B$15</f>
        <v>119.371014013729</v>
      </c>
      <c r="T15" s="25" t="n">
        <f aca="false">T14*Supuestos!$B$15</f>
        <v>135.194296118416</v>
      </c>
      <c r="U15" s="25" t="n">
        <f aca="false">U14*Supuestos!$B$15</f>
        <v>152.856421658744</v>
      </c>
      <c r="V15" s="25" t="n">
        <f aca="false">V14*Supuestos!$B$15</f>
        <v>172.580449863666</v>
      </c>
      <c r="W15" s="25" t="n">
        <f aca="false">W14*Supuestos!$B$15</f>
        <v>194.616111148944</v>
      </c>
      <c r="X15" s="25" t="n">
        <f aca="false">X14*Supuestos!$B$15</f>
        <v>219.243011496391</v>
      </c>
      <c r="Y15" s="25" t="n">
        <f aca="false">Y14*Supuestos!$B$15</f>
        <v>246.774221205147</v>
      </c>
      <c r="Z15" s="25" t="n">
        <f aca="false">Z14*Supuestos!$B$15</f>
        <v>277.560294145787</v>
      </c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1" t="s">
        <v>217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" hidden="false" customHeight="true" outlineLevel="0" collapsed="false">
      <c r="A18" s="7" t="s">
        <v>218</v>
      </c>
      <c r="B18" s="3"/>
      <c r="C18" s="27" t="n">
        <f aca="false">C10*Supuestos!$B$20*Escenarios!$B$13</f>
        <v>122837.710084034</v>
      </c>
      <c r="D18" s="27" t="n">
        <f aca="false">D10*Supuestos!$B$20*Escenarios!$B$13</f>
        <v>255502.43697479</v>
      </c>
      <c r="E18" s="27" t="n">
        <f aca="false">E10*Supuestos!$B$20*Escenarios!$B$13</f>
        <v>399369.96302521</v>
      </c>
      <c r="F18" s="27" t="n">
        <f aca="false">F10*Supuestos!$B$20*Escenarios!$B$13</f>
        <v>555973.302857143</v>
      </c>
      <c r="G18" s="27" t="n">
        <f aca="false">G10*Supuestos!$B$20*Escenarios!$B$13</f>
        <v>727021.885698151</v>
      </c>
      <c r="H18" s="27" t="n">
        <f aca="false">H10*Supuestos!$B$20*Escenarios!$B$13</f>
        <v>914423.027020155</v>
      </c>
      <c r="I18" s="27" t="n">
        <f aca="false">I10*Supuestos!$B$20*Escenarios!$B$13</f>
        <v>1120305.96469927</v>
      </c>
      <c r="J18" s="27" t="n">
        <f aca="false">J10*Supuestos!$B$20*Escenarios!$B$13</f>
        <v>1347048.76792241</v>
      </c>
      <c r="K18" s="27" t="n">
        <f aca="false">K10*Supuestos!$B$20*Escenarios!$B$13</f>
        <v>1597308.46403396</v>
      </c>
      <c r="L18" s="27" t="n">
        <f aca="false">L10*Supuestos!$B$20*Escenarios!$B$13</f>
        <v>1874054.76992046</v>
      </c>
      <c r="M18" s="27" t="n">
        <f aca="false">M10*Supuestos!$B$20*Escenarios!$B$13</f>
        <v>2180607.86090524</v>
      </c>
      <c r="N18" s="27" t="n">
        <f aca="false">N10*Supuestos!$B$20*Escenarios!$B$13</f>
        <v>2520680.66206443</v>
      </c>
      <c r="O18" s="27" t="n">
        <f aca="false">O10*Supuestos!$B$20*Escenarios!$B$13</f>
        <v>2898426.20504869</v>
      </c>
      <c r="P18" s="27" t="n">
        <f aca="false">P10*Supuestos!$B$20*Escenarios!$B$13</f>
        <v>3318490.65864961</v>
      </c>
      <c r="Q18" s="27" t="n">
        <f aca="false">Q10*Supuestos!$B$20*Escenarios!$B$13</f>
        <v>3786072.71432283</v>
      </c>
      <c r="R18" s="27" t="n">
        <f aca="false">R10*Supuestos!$B$20*Escenarios!$B$13</f>
        <v>4306990.08961142</v>
      </c>
      <c r="S18" s="27" t="n">
        <f aca="false">S10*Supuestos!$B$20*Escenarios!$B$13</f>
        <v>4887754.00395186</v>
      </c>
      <c r="T18" s="27" t="n">
        <f aca="false">T10*Supuestos!$B$20*Escenarios!$B$13</f>
        <v>5535652.58386966</v>
      </c>
      <c r="U18" s="27" t="n">
        <f aca="false">U10*Supuestos!$B$20*Escenarios!$B$13</f>
        <v>6258844.26939986</v>
      </c>
      <c r="V18" s="27" t="n">
        <f aca="false">V10*Supuestos!$B$20*Escenarios!$B$13</f>
        <v>7066462.42217505</v>
      </c>
      <c r="W18" s="27" t="n">
        <f aca="false">W10*Supuestos!$B$20*Escenarios!$B$13</f>
        <v>7968732.47966537</v>
      </c>
      <c r="X18" s="27" t="n">
        <f aca="false">X10*Supuestos!$B$20*Escenarios!$B$13</f>
        <v>8977103.16138136</v>
      </c>
      <c r="Y18" s="27" t="n">
        <f aca="false">Y10*Supuestos!$B$20*Escenarios!$B$13</f>
        <v>10104393.413537</v>
      </c>
      <c r="Z18" s="27" t="n">
        <f aca="false">Z10*Supuestos!$B$20*Escenarios!$B$13</f>
        <v>11364956.9810398</v>
      </c>
    </row>
    <row r="19" customFormat="false" ht="15" hidden="false" customHeight="true" outlineLevel="0" collapsed="false">
      <c r="A19" s="7" t="s">
        <v>219</v>
      </c>
      <c r="B19" s="3"/>
      <c r="C19" s="27" t="n">
        <f aca="false">C12*Supuestos!$B$22*Escenarios!$B$13</f>
        <v>65529.8319327731</v>
      </c>
      <c r="D19" s="27" t="n">
        <f aca="false">D12*Supuestos!$B$22*Escenarios!$B$13</f>
        <v>136302.050420168</v>
      </c>
      <c r="E19" s="27" t="n">
        <f aca="false">E12*Supuestos!$B$22*Escenarios!$B$13</f>
        <v>213050.589579832</v>
      </c>
      <c r="F19" s="27" t="n">
        <f aca="false">F12*Supuestos!$B$22*Escenarios!$B$13</f>
        <v>296593.261714286</v>
      </c>
      <c r="G19" s="27" t="n">
        <f aca="false">G12*Supuestos!$B$22*Escenarios!$B$13</f>
        <v>387841.990449479</v>
      </c>
      <c r="H19" s="27" t="n">
        <f aca="false">H12*Supuestos!$B$22*Escenarios!$B$13</f>
        <v>487814.265139716</v>
      </c>
      <c r="I19" s="27" t="n">
        <f aca="false">I12*Supuestos!$B$22*Escenarios!$B$13</f>
        <v>597645.96335933</v>
      </c>
      <c r="J19" s="27" t="n">
        <f aca="false">J12*Supuestos!$B$22*Escenarios!$B$13</f>
        <v>718605.705909184</v>
      </c>
      <c r="K19" s="27" t="n">
        <f aca="false">K12*Supuestos!$B$22*Escenarios!$B$13</f>
        <v>852110.928487151</v>
      </c>
      <c r="L19" s="27" t="n">
        <f aca="false">L12*Supuestos!$B$22*Escenarios!$B$13</f>
        <v>999745.876259719</v>
      </c>
      <c r="M19" s="27" t="n">
        <f aca="false">M12*Supuestos!$B$22*Escenarios!$B$13</f>
        <v>1163281.75231083</v>
      </c>
      <c r="N19" s="27" t="n">
        <f aca="false">N12*Supuestos!$B$22*Escenarios!$B$13</f>
        <v>1344699.27865208</v>
      </c>
      <c r="O19" s="27" t="n">
        <f aca="false">O12*Supuestos!$B$22*Escenarios!$B$13</f>
        <v>1546213.95951172</v>
      </c>
      <c r="P19" s="27" t="n">
        <f aca="false">P12*Supuestos!$B$22*Escenarios!$B$13</f>
        <v>1770304.37137766</v>
      </c>
      <c r="Q19" s="27" t="n">
        <f aca="false">Q12*Supuestos!$B$22*Escenarios!$B$13</f>
        <v>2019743.84319853</v>
      </c>
      <c r="R19" s="27" t="n">
        <f aca="false">R12*Supuestos!$B$22*Escenarios!$B$13</f>
        <v>2297635.93374768</v>
      </c>
      <c r="S19" s="27" t="n">
        <f aca="false">S12*Supuestos!$B$22*Escenarios!$B$13</f>
        <v>2607454.16198812</v>
      </c>
      <c r="T19" s="27" t="n">
        <f aca="false">T12*Supuestos!$B$22*Escenarios!$B$13</f>
        <v>2953086.50096979</v>
      </c>
      <c r="U19" s="27" t="n">
        <f aca="false">U12*Supuestos!$B$22*Escenarios!$B$13</f>
        <v>3276491.59663866</v>
      </c>
      <c r="V19" s="27" t="n">
        <f aca="false">V12*Supuestos!$B$22*Escenarios!$B$13</f>
        <v>3276491.59663866</v>
      </c>
      <c r="W19" s="27" t="n">
        <f aca="false">W12*Supuestos!$B$22*Escenarios!$B$13</f>
        <v>3276491.59663866</v>
      </c>
      <c r="X19" s="27" t="n">
        <f aca="false">X12*Supuestos!$B$22*Escenarios!$B$13</f>
        <v>3276491.59663866</v>
      </c>
      <c r="Y19" s="27" t="n">
        <f aca="false">Y12*Supuestos!$B$22*Escenarios!$B$13</f>
        <v>3276491.59663866</v>
      </c>
      <c r="Z19" s="27" t="n">
        <f aca="false">Z12*Supuestos!$B$22*Escenarios!$B$13</f>
        <v>3276491.59663866</v>
      </c>
    </row>
    <row r="20" customFormat="false" ht="15" hidden="false" customHeight="true" outlineLevel="0" collapsed="false">
      <c r="A20" s="7" t="s">
        <v>220</v>
      </c>
      <c r="B20" s="3"/>
      <c r="C20" s="27" t="n">
        <f aca="false">C13*Supuestos!$B$21*Escenarios!$B$13</f>
        <v>0</v>
      </c>
      <c r="D20" s="27" t="n">
        <f aca="false">D13*Supuestos!$B$21*Escenarios!$B$13</f>
        <v>0</v>
      </c>
      <c r="E20" s="27" t="n">
        <f aca="false">E13*Supuestos!$B$21*Escenarios!$B$13</f>
        <v>0</v>
      </c>
      <c r="F20" s="27" t="n">
        <f aca="false">F13*Supuestos!$B$21*Escenarios!$B$13</f>
        <v>0</v>
      </c>
      <c r="G20" s="27" t="n">
        <f aca="false">G13*Supuestos!$B$21*Escenarios!$B$13</f>
        <v>0</v>
      </c>
      <c r="H20" s="27" t="n">
        <f aca="false">H13*Supuestos!$B$21*Escenarios!$B$13</f>
        <v>0</v>
      </c>
      <c r="I20" s="27" t="n">
        <f aca="false">I13*Supuestos!$B$21*Escenarios!$B$13</f>
        <v>0</v>
      </c>
      <c r="J20" s="27" t="n">
        <f aca="false">J13*Supuestos!$B$21*Escenarios!$B$13</f>
        <v>0</v>
      </c>
      <c r="K20" s="27" t="n">
        <f aca="false">K13*Supuestos!$B$21*Escenarios!$B$13</f>
        <v>0</v>
      </c>
      <c r="L20" s="27" t="n">
        <f aca="false">L13*Supuestos!$B$21*Escenarios!$B$13</f>
        <v>0</v>
      </c>
      <c r="M20" s="27" t="n">
        <f aca="false">M13*Supuestos!$B$21*Escenarios!$B$13</f>
        <v>0</v>
      </c>
      <c r="N20" s="27" t="n">
        <f aca="false">N13*Supuestos!$B$21*Escenarios!$B$13</f>
        <v>0</v>
      </c>
      <c r="O20" s="27" t="n">
        <f aca="false">O13*Supuestos!$B$21*Escenarios!$B$13</f>
        <v>0</v>
      </c>
      <c r="P20" s="27" t="n">
        <f aca="false">P13*Supuestos!$B$21*Escenarios!$B$13</f>
        <v>0</v>
      </c>
      <c r="Q20" s="27" t="n">
        <f aca="false">Q13*Supuestos!$B$21*Escenarios!$B$13</f>
        <v>0</v>
      </c>
      <c r="R20" s="27" t="n">
        <f aca="false">R13*Supuestos!$B$21*Escenarios!$B$13</f>
        <v>0</v>
      </c>
      <c r="S20" s="27" t="n">
        <f aca="false">S13*Supuestos!$B$21*Escenarios!$B$13</f>
        <v>0</v>
      </c>
      <c r="T20" s="27" t="n">
        <f aca="false">T13*Supuestos!$B$21*Escenarios!$B$13</f>
        <v>0</v>
      </c>
      <c r="U20" s="27" t="n">
        <f aca="false">U13*Supuestos!$B$21*Escenarios!$B$13</f>
        <v>93598.2167649003</v>
      </c>
      <c r="V20" s="27" t="n">
        <f aca="false">V13*Supuestos!$B$21*Escenarios!$B$13</f>
        <v>739908.211562078</v>
      </c>
      <c r="W20" s="27" t="n">
        <f aca="false">W13*Supuestos!$B$21*Escenarios!$B$13</f>
        <v>1461964.98326586</v>
      </c>
      <c r="X20" s="27" t="n">
        <f aca="false">X13*Supuestos!$B$21*Escenarios!$B$13</f>
        <v>2268930.56200379</v>
      </c>
      <c r="Y20" s="27" t="n">
        <f aca="false">Y13*Supuestos!$B$21*Escenarios!$B$13</f>
        <v>3171063.52484278</v>
      </c>
      <c r="Z20" s="27" t="n">
        <f aca="false">Z13*Supuestos!$B$21*Escenarios!$B$13</f>
        <v>4179850.69728887</v>
      </c>
    </row>
    <row r="21" customFormat="false" ht="15" hidden="false" customHeight="true" outlineLevel="0" collapsed="false">
      <c r="A21" s="7" t="s">
        <v>221</v>
      </c>
      <c r="B21" s="3"/>
      <c r="C21" s="27" t="n">
        <f aca="false">C15*Supuestos!$B$23*Escenarios!$B$13</f>
        <v>73714.9159663865</v>
      </c>
      <c r="D21" s="27" t="n">
        <f aca="false">D15*Supuestos!$B$23*Escenarios!$B$13</f>
        <v>153327.025210084</v>
      </c>
      <c r="E21" s="27" t="n">
        <f aca="false">E15*Supuestos!$B$23*Escenarios!$B$13</f>
        <v>239661.934789916</v>
      </c>
      <c r="F21" s="27" t="n">
        <f aca="false">F15*Supuestos!$B$23*Escenarios!$B$13</f>
        <v>333639.606857143</v>
      </c>
      <c r="G21" s="27" t="n">
        <f aca="false">G15*Supuestos!$B$23*Escenarios!$B$13</f>
        <v>436285.86997674</v>
      </c>
      <c r="H21" s="27" t="n">
        <f aca="false">H15*Supuestos!$B$23*Escenarios!$B$13</f>
        <v>548745.304258818</v>
      </c>
      <c r="I21" s="27" t="n">
        <f aca="false">I15*Supuestos!$B$23*Escenarios!$B$13</f>
        <v>672295.665459351</v>
      </c>
      <c r="J21" s="27" t="n">
        <f aca="false">J15*Supuestos!$B$23*Escenarios!$B$13</f>
        <v>808364.03301637</v>
      </c>
      <c r="K21" s="27" t="n">
        <f aca="false">K15*Supuestos!$B$23*Escenarios!$B$13</f>
        <v>958544.889172155</v>
      </c>
      <c r="L21" s="27" t="n">
        <f aca="false">L15*Supuestos!$B$23*Escenarios!$B$13</f>
        <v>1124620.36117888</v>
      </c>
      <c r="M21" s="27" t="n">
        <f aca="false">M15*Supuestos!$B$23*Escenarios!$B$13</f>
        <v>1308582.88641417</v>
      </c>
      <c r="N21" s="27" t="n">
        <f aca="false">N15*Supuestos!$B$23*Escenarios!$B$13</f>
        <v>1512660.59140194</v>
      </c>
      <c r="O21" s="27" t="n">
        <f aca="false">O15*Supuestos!$B$23*Escenarios!$B$13</f>
        <v>1739345.71064353</v>
      </c>
      <c r="P21" s="27" t="n">
        <f aca="false">P15*Supuestos!$B$23*Escenarios!$B$13</f>
        <v>1991426.41026316</v>
      </c>
      <c r="Q21" s="27" t="n">
        <f aca="false">Q15*Supuestos!$B$23*Escenarios!$B$13</f>
        <v>2272022.42526346</v>
      </c>
      <c r="R21" s="27" t="n">
        <f aca="false">R15*Supuestos!$B$23*Escenarios!$B$13</f>
        <v>2584624.96823305</v>
      </c>
      <c r="S21" s="27" t="n">
        <f aca="false">S15*Supuestos!$B$23*Escenarios!$B$13</f>
        <v>2933141.42228146</v>
      </c>
      <c r="T21" s="27" t="n">
        <f aca="false">T15*Supuestos!$B$23*Escenarios!$B$13</f>
        <v>3321945.39250127</v>
      </c>
      <c r="U21" s="27" t="n">
        <f aca="false">U15*Supuestos!$B$23*Escenarios!$B$13</f>
        <v>3755932.75916562</v>
      </c>
      <c r="V21" s="27" t="n">
        <f aca="false">V15*Supuestos!$B$23*Escenarios!$B$13</f>
        <v>4240584.45304712</v>
      </c>
      <c r="W21" s="27" t="n">
        <f aca="false">W15*Supuestos!$B$23*Escenarios!$B$13</f>
        <v>4782036.75968313</v>
      </c>
      <c r="X21" s="27" t="n">
        <f aca="false">X15*Supuestos!$B$23*Escenarios!$B$13</f>
        <v>5387160.05622465</v>
      </c>
      <c r="Y21" s="27" t="n">
        <f aca="false">Y15*Supuestos!$B$23*Escenarios!$B$13</f>
        <v>6063646.99293597</v>
      </c>
      <c r="Z21" s="27" t="n">
        <f aca="false">Z15*Supuestos!$B$23*Escenarios!$B$13</f>
        <v>6820111.25285407</v>
      </c>
    </row>
    <row r="22" customFormat="false" ht="15" hidden="false" customHeight="true" outlineLevel="0" collapsed="false">
      <c r="A22" s="14" t="s">
        <v>222</v>
      </c>
      <c r="B22" s="3"/>
      <c r="C22" s="28" t="n">
        <f aca="false">SUM(C18:C21)</f>
        <v>262082.457983193</v>
      </c>
      <c r="D22" s="28" t="n">
        <f aca="false">SUM(D18:D21)</f>
        <v>545131.512605042</v>
      </c>
      <c r="E22" s="28" t="n">
        <f aca="false">SUM(E18:E21)</f>
        <v>852082.487394958</v>
      </c>
      <c r="F22" s="28" t="n">
        <f aca="false">SUM(F18:F21)</f>
        <v>1186206.17142857</v>
      </c>
      <c r="G22" s="28" t="n">
        <f aca="false">SUM(G18:G21)</f>
        <v>1551149.74612437</v>
      </c>
      <c r="H22" s="28" t="n">
        <f aca="false">SUM(H18:H21)</f>
        <v>1950982.59641869</v>
      </c>
      <c r="I22" s="28" t="n">
        <f aca="false">SUM(I18:I21)</f>
        <v>2390247.59351795</v>
      </c>
      <c r="J22" s="28" t="n">
        <f aca="false">SUM(J18:J21)</f>
        <v>2874018.50684796</v>
      </c>
      <c r="K22" s="28" t="n">
        <f aca="false">SUM(K18:K21)</f>
        <v>3407964.28169326</v>
      </c>
      <c r="L22" s="28" t="n">
        <f aca="false">SUM(L18:L21)</f>
        <v>3998421.00735906</v>
      </c>
      <c r="M22" s="28" t="n">
        <f aca="false">SUM(M18:M21)</f>
        <v>4652472.49963024</v>
      </c>
      <c r="N22" s="28" t="n">
        <f aca="false">SUM(N18:N21)</f>
        <v>5378040.53211845</v>
      </c>
      <c r="O22" s="28" t="n">
        <f aca="false">SUM(O18:O21)</f>
        <v>6183985.87520393</v>
      </c>
      <c r="P22" s="28" t="n">
        <f aca="false">SUM(P18:P21)</f>
        <v>7080221.44029043</v>
      </c>
      <c r="Q22" s="28" t="n">
        <f aca="false">SUM(Q18:Q21)</f>
        <v>8077838.98278482</v>
      </c>
      <c r="R22" s="28" t="n">
        <f aca="false">SUM(R18:R21)</f>
        <v>9189250.99159216</v>
      </c>
      <c r="S22" s="28" t="n">
        <f aca="false">SUM(S18:S21)</f>
        <v>10428349.5882214</v>
      </c>
      <c r="T22" s="28" t="n">
        <f aca="false">SUM(T18:T21)</f>
        <v>11810684.4773407</v>
      </c>
      <c r="U22" s="28" t="n">
        <f aca="false">SUM(U18:U21)</f>
        <v>13384866.841969</v>
      </c>
      <c r="V22" s="28" t="n">
        <f aca="false">SUM(V18:V21)</f>
        <v>15323446.6834229</v>
      </c>
      <c r="W22" s="28" t="n">
        <f aca="false">SUM(W18:W21)</f>
        <v>17489225.819253</v>
      </c>
      <c r="X22" s="28" t="n">
        <f aca="false">SUM(X18:X21)</f>
        <v>19909685.3762484</v>
      </c>
      <c r="Y22" s="28" t="n">
        <f aca="false">SUM(Y18:Y21)</f>
        <v>22615595.5279544</v>
      </c>
      <c r="Z22" s="28" t="n">
        <f aca="false">SUM(Z18:Z21)</f>
        <v>25641410.5278214</v>
      </c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11" t="s">
        <v>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" hidden="false" customHeight="true" outlineLevel="0" collapsed="false">
      <c r="A25" s="7" t="s">
        <v>223</v>
      </c>
      <c r="B25" s="3"/>
      <c r="C25" s="27" t="n">
        <f aca="false">C10*Supuestos!$B$51+(C11+C15)*Supuestos!$B$52</f>
        <v>33582.5</v>
      </c>
      <c r="D25" s="27" t="n">
        <f aca="false">D10*Supuestos!$B$51+(D11+D15)*Supuestos!$B$52</f>
        <v>69851.6</v>
      </c>
      <c r="E25" s="27" t="n">
        <f aca="false">E10*Supuestos!$B$51+(E11+E15)*Supuestos!$B$52</f>
        <v>109183.424</v>
      </c>
      <c r="F25" s="27" t="n">
        <f aca="false">F10*Supuestos!$B$51+(F11+F15)*Supuestos!$B$52</f>
        <v>151997.0816</v>
      </c>
      <c r="G25" s="27" t="n">
        <f aca="false">G10*Supuestos!$B$51+(G11+G15)*Supuestos!$B$52</f>
        <v>198759.9122432</v>
      </c>
      <c r="H25" s="27" t="n">
        <f aca="false">H10*Supuestos!$B$51+(H11+H15)*Supuestos!$B$52</f>
        <v>249993.355329536</v>
      </c>
      <c r="I25" s="27" t="n">
        <f aca="false">I10*Supuestos!$B$51+(I11+I15)*Supuestos!$B$52</f>
        <v>306279.521441546</v>
      </c>
      <c r="J25" s="27" t="n">
        <f aca="false">J10*Supuestos!$B$51+(J11+J15)*Supuestos!$B$52</f>
        <v>368268.548948099</v>
      </c>
      <c r="K25" s="27" t="n">
        <f aca="false">K10*Supuestos!$B$51+(K11+K15)*Supuestos!$B$52</f>
        <v>436686.840358096</v>
      </c>
      <c r="L25" s="27" t="n">
        <f aca="false">L10*Supuestos!$B$51+(L11+L15)*Supuestos!$B$52</f>
        <v>512346.284115843</v>
      </c>
      <c r="M25" s="27" t="n">
        <f aca="false">M10*Supuestos!$B$51+(M11+M15)*Supuestos!$B$52</f>
        <v>596154.580207929</v>
      </c>
      <c r="N25" s="27" t="n">
        <f aca="false">N10*Supuestos!$B$51+(N11+N15)*Supuestos!$B$52</f>
        <v>689126.802151137</v>
      </c>
      <c r="O25" s="27" t="n">
        <f aca="false">O10*Supuestos!$B$51+(O11+O15)*Supuestos!$B$52</f>
        <v>792398.343834801</v>
      </c>
      <c r="P25" s="27" t="n">
        <f aca="false">P10*Supuestos!$B$51+(P11+P15)*Supuestos!$B$52</f>
        <v>907239.417503483</v>
      </c>
      <c r="Q25" s="27" t="n">
        <f aca="false">Q10*Supuestos!$B$51+(Q11+Q15)*Supuestos!$B$52</f>
        <v>1035071.28911607</v>
      </c>
      <c r="R25" s="27" t="n">
        <f aca="false">R10*Supuestos!$B$51+(R11+R15)*Supuestos!$B$52</f>
        <v>1177484.45966167</v>
      </c>
      <c r="S25" s="27" t="n">
        <f aca="false">S10*Supuestos!$B$51+(S11+S15)*Supuestos!$B$52</f>
        <v>1336259.02603869</v>
      </c>
      <c r="T25" s="27" t="n">
        <f aca="false">T10*Supuestos!$B$51+(T11+T15)*Supuestos!$B$52</f>
        <v>1513387.48313224</v>
      </c>
      <c r="U25" s="27" t="n">
        <f aca="false">U10*Supuestos!$B$51+(U11+U15)*Supuestos!$B$52</f>
        <v>1711100.26011826</v>
      </c>
      <c r="V25" s="27" t="n">
        <f aca="false">V10*Supuestos!$B$51+(V11+V15)*Supuestos!$B$52</f>
        <v>1931894.31918219</v>
      </c>
      <c r="W25" s="27" t="n">
        <f aca="false">W10*Supuestos!$B$51+(W11+W15)*Supuestos!$B$52</f>
        <v>2178565.18421981</v>
      </c>
      <c r="X25" s="27" t="n">
        <f aca="false">X10*Supuestos!$B$51+(X11+X15)*Supuestos!$B$52</f>
        <v>2454242.81119251</v>
      </c>
      <c r="Y25" s="27" t="n">
        <f aca="false">Y10*Supuestos!$B$51+(Y11+Y15)*Supuestos!$B$52</f>
        <v>2762431.76120729</v>
      </c>
      <c r="Z25" s="27" t="n">
        <f aca="false">Z10*Supuestos!$B$51+(Z11+Z15)*Supuestos!$B$52</f>
        <v>3107056.19271696</v>
      </c>
    </row>
    <row r="26" customFormat="false" ht="15" hidden="false" customHeight="true" outlineLevel="0" collapsed="false">
      <c r="A26" s="7" t="s">
        <v>224</v>
      </c>
      <c r="B26" s="3"/>
      <c r="C26" s="27" t="n">
        <f aca="false">C10*Supuestos!$B$58+(C11+C15)*Supuestos!$B$59</f>
        <v>7125</v>
      </c>
      <c r="D26" s="27" t="n">
        <f aca="false">D10*Supuestos!$B$58+(D11+D15)*Supuestos!$B$59</f>
        <v>14820</v>
      </c>
      <c r="E26" s="27" t="n">
        <f aca="false">E10*Supuestos!$B$58+(E11+E15)*Supuestos!$B$59</f>
        <v>23164.8</v>
      </c>
      <c r="F26" s="27" t="n">
        <f aca="false">F10*Supuestos!$B$58+(F11+F15)*Supuestos!$B$59</f>
        <v>32248.32</v>
      </c>
      <c r="G26" s="27" t="n">
        <f aca="false">G10*Supuestos!$B$58+(G11+G15)*Supuestos!$B$59</f>
        <v>42169.71264</v>
      </c>
      <c r="H26" s="27" t="n">
        <f aca="false">H10*Supuestos!$B$58+(H11+H15)*Supuestos!$B$59</f>
        <v>53039.6086272</v>
      </c>
      <c r="I26" s="27" t="n">
        <f aca="false">I10*Supuestos!$B$58+(I11+I15)*Supuestos!$B$59</f>
        <v>64981.510914048</v>
      </c>
      <c r="J26" s="27" t="n">
        <f aca="false">J10*Supuestos!$B$58+(J11+J15)*Supuestos!$B$59</f>
        <v>78133.3555052544</v>
      </c>
      <c r="K26" s="27" t="n">
        <f aca="false">K10*Supuestos!$B$58+(K11+K15)*Supuestos!$B$59</f>
        <v>92649.2589161448</v>
      </c>
      <c r="L26" s="27" t="n">
        <f aca="false">L10*Supuestos!$B$58+(L11+L15)*Supuestos!$B$59</f>
        <v>108701.474706332</v>
      </c>
      <c r="M26" s="27" t="n">
        <f aca="false">M10*Supuestos!$B$58+(M11+M15)*Supuestos!$B$59</f>
        <v>126482.584202531</v>
      </c>
      <c r="N26" s="27" t="n">
        <f aca="false">N10*Supuestos!$B$58+(N11+N15)*Supuestos!$B$59</f>
        <v>146207.949537016</v>
      </c>
      <c r="O26" s="27" t="n">
        <f aca="false">O10*Supuestos!$B$58+(O11+O15)*Supuestos!$B$59</f>
        <v>168118.460502433</v>
      </c>
      <c r="P26" s="27" t="n">
        <f aca="false">P10*Supuestos!$B$58+(P11+P15)*Supuestos!$B$59</f>
        <v>192483.610502861</v>
      </c>
      <c r="Q26" s="27" t="n">
        <f aca="false">Q10*Supuestos!$B$58+(Q11+Q15)*Supuestos!$B$59</f>
        <v>219604.941113734</v>
      </c>
      <c r="R26" s="27" t="n">
        <f aca="false">R10*Supuestos!$B$58+(R11+R15)*Supuestos!$B$59</f>
        <v>249819.899503891</v>
      </c>
      <c r="S26" s="27" t="n">
        <f aca="false">S10*Supuestos!$B$58+(S11+S15)*Supuestos!$B$59</f>
        <v>283506.158282607</v>
      </c>
      <c r="T26" s="27" t="n">
        <f aca="false">T10*Supuestos!$B$58+(T11+T15)*Supuestos!$B$59</f>
        <v>321086.453281238</v>
      </c>
      <c r="U26" s="27" t="n">
        <f aca="false">U10*Supuestos!$B$58+(U11+U15)*Supuestos!$B$59</f>
        <v>363034.001439517</v>
      </c>
      <c r="V26" s="27" t="n">
        <f aca="false">V10*Supuestos!$B$58+(V11+V15)*Supuestos!$B$59</f>
        <v>409878.568426208</v>
      </c>
      <c r="W26" s="27" t="n">
        <f aca="false">W10*Supuestos!$B$58+(W11+W15)*Supuestos!$B$59</f>
        <v>462213.263978743</v>
      </c>
      <c r="X26" s="27" t="n">
        <f aca="false">X10*Supuestos!$B$58+(X11+X15)*Supuestos!$B$59</f>
        <v>520702.152303927</v>
      </c>
      <c r="Y26" s="27" t="n">
        <f aca="false">Y10*Supuestos!$B$58+(Y11+Y15)*Supuestos!$B$59</f>
        <v>586088.775362225</v>
      </c>
      <c r="Z26" s="27" t="n">
        <f aca="false">Z10*Supuestos!$B$58+(Z11+Z15)*Supuestos!$B$59</f>
        <v>659205.698596244</v>
      </c>
    </row>
    <row r="27" customFormat="false" ht="15" hidden="false" customHeight="true" outlineLevel="0" collapsed="false">
      <c r="A27" s="7" t="s">
        <v>225</v>
      </c>
      <c r="B27" s="3"/>
      <c r="C27" s="27" t="n">
        <f aca="false">C22*(1+Supuestos!$B$7)*Supuestos!$B$60</f>
        <v>10915.734375</v>
      </c>
      <c r="D27" s="27" t="n">
        <f aca="false">D22*(1+Supuestos!$B$7)*Supuestos!$B$60</f>
        <v>22704.7275</v>
      </c>
      <c r="E27" s="27" t="n">
        <f aca="false">E22*(1+Supuestos!$B$7)*Supuestos!$B$60</f>
        <v>35489.2356</v>
      </c>
      <c r="F27" s="27" t="n">
        <f aca="false">F22*(1+Supuestos!$B$7)*Supuestos!$B$60</f>
        <v>49405.48704</v>
      </c>
      <c r="G27" s="27" t="n">
        <f aca="false">G22*(1+Supuestos!$B$7)*Supuestos!$B$60</f>
        <v>64605.38692608</v>
      </c>
      <c r="H27" s="27" t="n">
        <f aca="false">H22*(1+Supuestos!$B$7)*Supuestos!$B$60</f>
        <v>81258.4251408384</v>
      </c>
      <c r="I27" s="27" t="n">
        <f aca="false">I22*(1+Supuestos!$B$7)*Supuestos!$B$60</f>
        <v>99553.8122700227</v>
      </c>
      <c r="J27" s="27" t="n">
        <f aca="false">J22*(1+Supuestos!$B$7)*Supuestos!$B$60</f>
        <v>119702.870810218</v>
      </c>
      <c r="K27" s="27" t="n">
        <f aca="false">K22*(1+Supuestos!$B$7)*Supuestos!$B$60</f>
        <v>141941.712332524</v>
      </c>
      <c r="L27" s="27" t="n">
        <f aca="false">L22*(1+Supuestos!$B$7)*Supuestos!$B$60</f>
        <v>166534.234956505</v>
      </c>
      <c r="M27" s="27" t="n">
        <f aca="false">M22*(1+Supuestos!$B$7)*Supuestos!$B$60</f>
        <v>193775.4796096</v>
      </c>
      <c r="N27" s="27" t="n">
        <f aca="false">N22*(1+Supuestos!$B$7)*Supuestos!$B$60</f>
        <v>223995.388162733</v>
      </c>
      <c r="O27" s="27" t="n">
        <f aca="false">O22*(1+Supuestos!$B$7)*Supuestos!$B$60</f>
        <v>257563.011702244</v>
      </c>
      <c r="P27" s="27" t="n">
        <f aca="false">P22*(1+Supuestos!$B$7)*Supuestos!$B$60</f>
        <v>294891.222988096</v>
      </c>
      <c r="Q27" s="27" t="n">
        <f aca="false">Q22*(1+Supuestos!$B$7)*Supuestos!$B$60</f>
        <v>336441.993632988</v>
      </c>
      <c r="R27" s="27" t="n">
        <f aca="false">R22*(1+Supuestos!$B$7)*Supuestos!$B$60</f>
        <v>382732.303799813</v>
      </c>
      <c r="S27" s="27" t="n">
        <f aca="false">S22*(1+Supuestos!$B$7)*Supuestos!$B$60</f>
        <v>434340.760349423</v>
      </c>
      <c r="T27" s="27" t="n">
        <f aca="false">T22*(1+Supuestos!$B$7)*Supuestos!$B$60</f>
        <v>491915.008481241</v>
      </c>
      <c r="U27" s="27" t="n">
        <f aca="false">U22*(1+Supuestos!$B$7)*Supuestos!$B$60</f>
        <v>557479.70396801</v>
      </c>
      <c r="V27" s="27" t="n">
        <f aca="false">V22*(1+Supuestos!$B$7)*Supuestos!$B$60</f>
        <v>638221.554364564</v>
      </c>
      <c r="W27" s="27" t="n">
        <f aca="false">W22*(1+Supuestos!$B$7)*Supuestos!$B$60</f>
        <v>728426.255371888</v>
      </c>
      <c r="X27" s="27" t="n">
        <f aca="false">X22*(1+Supuestos!$B$7)*Supuestos!$B$60</f>
        <v>829238.395920748</v>
      </c>
      <c r="Y27" s="27" t="n">
        <f aca="false">Y22*(1+Supuestos!$B$7)*Supuestos!$B$60</f>
        <v>941939.553739302</v>
      </c>
      <c r="Z27" s="27" t="n">
        <f aca="false">Z22*(1+Supuestos!$B$7)*Supuestos!$B$60</f>
        <v>1067964.74848376</v>
      </c>
    </row>
    <row r="28" customFormat="false" ht="15" hidden="false" customHeight="true" outlineLevel="0" collapsed="false">
      <c r="A28" s="14" t="s">
        <v>226</v>
      </c>
      <c r="B28" s="3"/>
      <c r="C28" s="28" t="n">
        <f aca="false">SUM(C25:C27)</f>
        <v>51623.234375</v>
      </c>
      <c r="D28" s="28" t="n">
        <f aca="false">SUM(D25:D27)</f>
        <v>107376.3275</v>
      </c>
      <c r="E28" s="28" t="n">
        <f aca="false">SUM(E25:E27)</f>
        <v>167837.4596</v>
      </c>
      <c r="F28" s="28" t="n">
        <f aca="false">SUM(F25:F27)</f>
        <v>233650.88864</v>
      </c>
      <c r="G28" s="28" t="n">
        <f aca="false">SUM(G25:G27)</f>
        <v>305535.01180928</v>
      </c>
      <c r="H28" s="28" t="n">
        <f aca="false">SUM(H25:H27)</f>
        <v>384291.389097574</v>
      </c>
      <c r="I28" s="28" t="n">
        <f aca="false">SUM(I25:I27)</f>
        <v>470814.844625617</v>
      </c>
      <c r="J28" s="28" t="n">
        <f aca="false">SUM(J25:J27)</f>
        <v>566104.775263571</v>
      </c>
      <c r="K28" s="28" t="n">
        <f aca="false">SUM(K25:K27)</f>
        <v>671277.811606765</v>
      </c>
      <c r="L28" s="28" t="n">
        <f aca="false">SUM(L25:L27)</f>
        <v>787581.993778679</v>
      </c>
      <c r="M28" s="28" t="n">
        <f aca="false">SUM(M25:M27)</f>
        <v>916412.644020059</v>
      </c>
      <c r="N28" s="28" t="n">
        <f aca="false">SUM(N25:N27)</f>
        <v>1059330.13985089</v>
      </c>
      <c r="O28" s="28" t="n">
        <f aca="false">SUM(O25:O27)</f>
        <v>1218079.81603948</v>
      </c>
      <c r="P28" s="28" t="n">
        <f aca="false">SUM(P25:P27)</f>
        <v>1394614.25099444</v>
      </c>
      <c r="Q28" s="28" t="n">
        <f aca="false">SUM(Q25:Q27)</f>
        <v>1591118.22386279</v>
      </c>
      <c r="R28" s="28" t="n">
        <f aca="false">SUM(R25:R27)</f>
        <v>1810036.66296538</v>
      </c>
      <c r="S28" s="28" t="n">
        <f aca="false">SUM(S25:S27)</f>
        <v>2054105.94467072</v>
      </c>
      <c r="T28" s="28" t="n">
        <f aca="false">SUM(T25:T27)</f>
        <v>2326388.94489472</v>
      </c>
      <c r="U28" s="28" t="n">
        <f aca="false">SUM(U25:U27)</f>
        <v>2631613.96552578</v>
      </c>
      <c r="V28" s="28" t="n">
        <f aca="false">SUM(V25:V27)</f>
        <v>2979994.44197296</v>
      </c>
      <c r="W28" s="28" t="n">
        <f aca="false">SUM(W25:W27)</f>
        <v>3369204.70357044</v>
      </c>
      <c r="X28" s="28" t="n">
        <f aca="false">SUM(X25:X27)</f>
        <v>3804183.35941719</v>
      </c>
      <c r="Y28" s="28" t="n">
        <f aca="false">SUM(Y25:Y27)</f>
        <v>4290460.09030881</v>
      </c>
      <c r="Z28" s="28" t="n">
        <f aca="false">SUM(Z25:Z27)</f>
        <v>4834226.63979697</v>
      </c>
    </row>
    <row r="29" customFormat="false" ht="15" hidden="false" customHeight="true" outlineLevel="0" collapsed="false">
      <c r="A29" s="14" t="s">
        <v>10</v>
      </c>
      <c r="B29" s="3"/>
      <c r="C29" s="28" t="n">
        <f aca="false">C22-C28</f>
        <v>210459.223608193</v>
      </c>
      <c r="D29" s="28" t="n">
        <f aca="false">D22-D28</f>
        <v>437755.185105042</v>
      </c>
      <c r="E29" s="28" t="n">
        <f aca="false">E22-E28</f>
        <v>684245.027794958</v>
      </c>
      <c r="F29" s="28" t="n">
        <f aca="false">F22-F28</f>
        <v>952555.282788571</v>
      </c>
      <c r="G29" s="28" t="n">
        <f aca="false">G22-G28</f>
        <v>1245614.73431509</v>
      </c>
      <c r="H29" s="28" t="n">
        <f aca="false">H22-H28</f>
        <v>1566691.20732111</v>
      </c>
      <c r="I29" s="28" t="n">
        <f aca="false">I22-I28</f>
        <v>1919432.74889233</v>
      </c>
      <c r="J29" s="28" t="n">
        <f aca="false">J22-J28</f>
        <v>2307913.73158439</v>
      </c>
      <c r="K29" s="28" t="n">
        <f aca="false">K22-K28</f>
        <v>2736686.4700865</v>
      </c>
      <c r="L29" s="28" t="n">
        <f aca="false">L22-L28</f>
        <v>3210839.01358038</v>
      </c>
      <c r="M29" s="28" t="n">
        <f aca="false">M22-M28</f>
        <v>3736059.85561019</v>
      </c>
      <c r="N29" s="28" t="n">
        <f aca="false">N22-N28</f>
        <v>4318710.39226756</v>
      </c>
      <c r="O29" s="28" t="n">
        <f aca="false">O22-O28</f>
        <v>4965906.05916446</v>
      </c>
      <c r="P29" s="28" t="n">
        <f aca="false">P22-P28</f>
        <v>5685607.18929599</v>
      </c>
      <c r="Q29" s="28" t="n">
        <f aca="false">Q22-Q28</f>
        <v>6486720.75892203</v>
      </c>
      <c r="R29" s="28" t="n">
        <f aca="false">R22-R28</f>
        <v>7379214.32862678</v>
      </c>
      <c r="S29" s="28" t="n">
        <f aca="false">S22-S28</f>
        <v>8374243.64355073</v>
      </c>
      <c r="T29" s="28" t="n">
        <f aca="false">T22-T28</f>
        <v>9484295.53244601</v>
      </c>
      <c r="U29" s="28" t="n">
        <f aca="false">U22-U28</f>
        <v>10753252.8764433</v>
      </c>
      <c r="V29" s="28" t="n">
        <f aca="false">V22-V28</f>
        <v>12343452.2414499</v>
      </c>
      <c r="W29" s="28" t="n">
        <f aca="false">W22-W28</f>
        <v>14120021.1156826</v>
      </c>
      <c r="X29" s="28" t="n">
        <f aca="false">X22-X28</f>
        <v>16105502.0168313</v>
      </c>
      <c r="Y29" s="28" t="n">
        <f aca="false">Y22-Y28</f>
        <v>18325135.4376456</v>
      </c>
      <c r="Z29" s="28" t="n">
        <f aca="false">Z22-Z28</f>
        <v>20807183.8880244</v>
      </c>
    </row>
    <row r="30" customFormat="false" ht="15" hidden="false" customHeight="true" outlineLevel="0" collapsed="false">
      <c r="A30" s="7" t="s">
        <v>227</v>
      </c>
      <c r="B30" s="3"/>
      <c r="C30" s="29" t="n">
        <f aca="false">IF(C22=0,0,C29/C22)</f>
        <v>0.803026746725985</v>
      </c>
      <c r="D30" s="29" t="n">
        <f aca="false">IF(D22=0,0,D29/D22)</f>
        <v>0.803026746725985</v>
      </c>
      <c r="E30" s="29" t="n">
        <f aca="false">IF(E22=0,0,E29/E22)</f>
        <v>0.803026746725985</v>
      </c>
      <c r="F30" s="29" t="n">
        <f aca="false">IF(F22=0,0,F29/F22)</f>
        <v>0.803026746725985</v>
      </c>
      <c r="G30" s="29" t="n">
        <f aca="false">IF(G22=0,0,G29/G22)</f>
        <v>0.803026746725985</v>
      </c>
      <c r="H30" s="29" t="n">
        <f aca="false">IF(H22=0,0,H29/H22)</f>
        <v>0.803026746725985</v>
      </c>
      <c r="I30" s="29" t="n">
        <f aca="false">IF(I22=0,0,I29/I22)</f>
        <v>0.803026746725985</v>
      </c>
      <c r="J30" s="29" t="n">
        <f aca="false">IF(J22=0,0,J29/J22)</f>
        <v>0.803026746725985</v>
      </c>
      <c r="K30" s="29" t="n">
        <f aca="false">IF(K22=0,0,K29/K22)</f>
        <v>0.803026746725985</v>
      </c>
      <c r="L30" s="29" t="n">
        <f aca="false">IF(L22=0,0,L29/L22)</f>
        <v>0.803026746725985</v>
      </c>
      <c r="M30" s="29" t="n">
        <f aca="false">IF(M22=0,0,M29/M22)</f>
        <v>0.803026746725985</v>
      </c>
      <c r="N30" s="29" t="n">
        <f aca="false">IF(N22=0,0,N29/N22)</f>
        <v>0.803026746725985</v>
      </c>
      <c r="O30" s="29" t="n">
        <f aca="false">IF(O22=0,0,O29/O22)</f>
        <v>0.803026746725985</v>
      </c>
      <c r="P30" s="29" t="n">
        <f aca="false">IF(P22=0,0,P29/P22)</f>
        <v>0.803026746725985</v>
      </c>
      <c r="Q30" s="29" t="n">
        <f aca="false">IF(Q22=0,0,Q29/Q22)</f>
        <v>0.803026746725985</v>
      </c>
      <c r="R30" s="29" t="n">
        <f aca="false">IF(R22=0,0,R29/R22)</f>
        <v>0.803026746725985</v>
      </c>
      <c r="S30" s="29" t="n">
        <f aca="false">IF(S22=0,0,S29/S22)</f>
        <v>0.803026746725985</v>
      </c>
      <c r="T30" s="29" t="n">
        <f aca="false">IF(T22=0,0,T29/T22)</f>
        <v>0.803026746725985</v>
      </c>
      <c r="U30" s="29" t="n">
        <f aca="false">IF(U22=0,0,U29/U22)</f>
        <v>0.803388857237324</v>
      </c>
      <c r="V30" s="29" t="n">
        <f aca="false">IF(V22=0,0,V29/V22)</f>
        <v>0.805527143890104</v>
      </c>
      <c r="W30" s="29" t="n">
        <f aca="false">IF(W22=0,0,W29/W22)</f>
        <v>0.807355411932445</v>
      </c>
      <c r="X30" s="29" t="n">
        <f aca="false">IF(X22=0,0,X29/X22)</f>
        <v>0.808928002249827</v>
      </c>
      <c r="Y30" s="29" t="n">
        <f aca="false">IF(Y22=0,0,Y29/Y22)</f>
        <v>0.810287547590533</v>
      </c>
      <c r="Z30" s="29" t="n">
        <f aca="false">IF(Z22=0,0,Z29/Z22)</f>
        <v>0.81146799102367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11" t="s">
        <v>11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5" hidden="false" customHeight="true" outlineLevel="0" collapsed="false">
      <c r="A33" s="7" t="s">
        <v>228</v>
      </c>
      <c r="B33" s="3"/>
      <c r="C33" s="29" t="n">
        <f aca="false">MIN(1,C9/Supuestos!$B$63)</f>
        <v>0.01</v>
      </c>
      <c r="D33" s="29" t="n">
        <f aca="false">MIN(1,D9/Supuestos!$B$63)</f>
        <v>0.0208</v>
      </c>
      <c r="E33" s="29" t="n">
        <f aca="false">MIN(1,E9/Supuestos!$B$63)</f>
        <v>0.032512</v>
      </c>
      <c r="F33" s="29" t="n">
        <f aca="false">MIN(1,F9/Supuestos!$B$63)</f>
        <v>0.0452608</v>
      </c>
      <c r="G33" s="29" t="n">
        <f aca="false">MIN(1,G9/Supuestos!$B$63)</f>
        <v>0.0591855616</v>
      </c>
      <c r="H33" s="29" t="n">
        <f aca="false">MIN(1,H9/Supuestos!$B$63)</f>
        <v>0.074441555968</v>
      </c>
      <c r="I33" s="29" t="n">
        <f aca="false">MIN(1,I9/Supuestos!$B$63)</f>
        <v>0.09120212058112</v>
      </c>
      <c r="J33" s="29" t="n">
        <f aca="false">MIN(1,J9/Supuestos!$B$63)</f>
        <v>0.109660849831936</v>
      </c>
      <c r="K33" s="29" t="n">
        <f aca="false">MIN(1,K9/Supuestos!$B$63)</f>
        <v>0.130034047601607</v>
      </c>
      <c r="L33" s="29" t="n">
        <f aca="false">MIN(1,L9/Supuestos!$B$63)</f>
        <v>0.152563473272044</v>
      </c>
      <c r="M33" s="29" t="n">
        <f aca="false">MIN(1,M9/Supuestos!$B$63)</f>
        <v>0.177519416424605</v>
      </c>
      <c r="N33" s="29" t="n">
        <f aca="false">MIN(1,N9/Supuestos!$B$63)</f>
        <v>0.205204139701076</v>
      </c>
      <c r="O33" s="29" t="n">
        <f aca="false">MIN(1,O9/Supuestos!$B$63)</f>
        <v>0.235955734038502</v>
      </c>
      <c r="P33" s="29" t="n">
        <f aca="false">MIN(1,P9/Supuestos!$B$63)</f>
        <v>0.270152435793489</v>
      </c>
      <c r="Q33" s="29" t="n">
        <f aca="false">MIN(1,Q9/Supuestos!$B$63)</f>
        <v>0.308217461212258</v>
      </c>
      <c r="R33" s="29" t="n">
        <f aca="false">MIN(1,R9/Supuestos!$B$63)</f>
        <v>0.350624420356338</v>
      </c>
      <c r="S33" s="29" t="n">
        <f aca="false">MIN(1,S9/Supuestos!$B$63)</f>
        <v>0.397903380045764</v>
      </c>
      <c r="T33" s="29" t="n">
        <f aca="false">MIN(1,T9/Supuestos!$B$63)</f>
        <v>0.450647653728054</v>
      </c>
      <c r="U33" s="29" t="n">
        <f aca="false">MIN(1,U9/Supuestos!$B$63)</f>
        <v>0.509521405529146</v>
      </c>
      <c r="V33" s="29" t="n">
        <f aca="false">MIN(1,V9/Supuestos!$B$63)</f>
        <v>0.575268166212221</v>
      </c>
      <c r="W33" s="29" t="n">
        <f aca="false">MIN(1,W9/Supuestos!$B$63)</f>
        <v>0.648720370496482</v>
      </c>
      <c r="X33" s="29" t="n">
        <f aca="false">MIN(1,X9/Supuestos!$B$63)</f>
        <v>0.730810038321302</v>
      </c>
      <c r="Y33" s="29" t="n">
        <f aca="false">MIN(1,Y9/Supuestos!$B$63)</f>
        <v>0.822580737350491</v>
      </c>
      <c r="Z33" s="29" t="n">
        <f aca="false">MIN(1,Z9/Supuestos!$B$63)</f>
        <v>0.925200980485957</v>
      </c>
    </row>
    <row r="34" customFormat="false" ht="15" hidden="false" customHeight="true" outlineLevel="0" collapsed="false">
      <c r="A34" s="7" t="s">
        <v>229</v>
      </c>
      <c r="B34" s="3"/>
      <c r="C34" s="27" t="n">
        <f aca="false">Supuestos!$B$72+(Supuestos!$B$73-Supuestos!$B$72)*C33</f>
        <v>189870</v>
      </c>
      <c r="D34" s="27" t="n">
        <f aca="false">Supuestos!$B$72+(Supuestos!$B$73-Supuestos!$B$72)*D33</f>
        <v>195021.6</v>
      </c>
      <c r="E34" s="27" t="n">
        <f aca="false">Supuestos!$B$72+(Supuestos!$B$73-Supuestos!$B$72)*E33</f>
        <v>200608.224</v>
      </c>
      <c r="F34" s="27" t="n">
        <f aca="false">Supuestos!$B$72+(Supuestos!$B$73-Supuestos!$B$72)*F33</f>
        <v>206689.4016</v>
      </c>
      <c r="G34" s="27" t="n">
        <f aca="false">Supuestos!$B$72+(Supuestos!$B$73-Supuestos!$B$72)*G33</f>
        <v>213331.5128832</v>
      </c>
      <c r="H34" s="27" t="n">
        <f aca="false">Supuestos!$B$72+(Supuestos!$B$73-Supuestos!$B$72)*H33</f>
        <v>220608.622196736</v>
      </c>
      <c r="I34" s="27" t="n">
        <f aca="false">Supuestos!$B$72+(Supuestos!$B$73-Supuestos!$B$72)*I33</f>
        <v>228603.411517194</v>
      </c>
      <c r="J34" s="27" t="n">
        <f aca="false">Supuestos!$B$72+(Supuestos!$B$73-Supuestos!$B$72)*J33</f>
        <v>237408.225369834</v>
      </c>
      <c r="K34" s="27" t="n">
        <f aca="false">Supuestos!$B$72+(Supuestos!$B$73-Supuestos!$B$72)*K33</f>
        <v>247126.240705966</v>
      </c>
      <c r="L34" s="27" t="n">
        <f aca="false">Supuestos!$B$72+(Supuestos!$B$73-Supuestos!$B$72)*L33</f>
        <v>257872.776750765</v>
      </c>
      <c r="M34" s="27" t="n">
        <f aca="false">Supuestos!$B$72+(Supuestos!$B$73-Supuestos!$B$72)*M33</f>
        <v>269776.761634536</v>
      </c>
      <c r="N34" s="27" t="n">
        <f aca="false">Supuestos!$B$72+(Supuestos!$B$73-Supuestos!$B$72)*N33</f>
        <v>282982.374637413</v>
      </c>
      <c r="O34" s="27" t="n">
        <f aca="false">Supuestos!$B$72+(Supuestos!$B$73-Supuestos!$B$72)*O33</f>
        <v>297650.885136366</v>
      </c>
      <c r="P34" s="27" t="n">
        <f aca="false">Supuestos!$B$72+(Supuestos!$B$73-Supuestos!$B$72)*P33</f>
        <v>313962.711873494</v>
      </c>
      <c r="Q34" s="27" t="n">
        <f aca="false">Supuestos!$B$72+(Supuestos!$B$73-Supuestos!$B$72)*Q33</f>
        <v>332119.728998247</v>
      </c>
      <c r="R34" s="27" t="n">
        <f aca="false">Supuestos!$B$72+(Supuestos!$B$73-Supuestos!$B$72)*R33</f>
        <v>352347.848509973</v>
      </c>
      <c r="S34" s="27" t="n">
        <f aca="false">Supuestos!$B$72+(Supuestos!$B$73-Supuestos!$B$72)*S33</f>
        <v>374899.912281829</v>
      </c>
      <c r="T34" s="27" t="n">
        <f aca="false">Supuestos!$B$72+(Supuestos!$B$73-Supuestos!$B$72)*T33</f>
        <v>400058.930828282</v>
      </c>
      <c r="U34" s="27" t="n">
        <f aca="false">Supuestos!$B$72+(Supuestos!$B$73-Supuestos!$B$72)*U33</f>
        <v>428141.710437403</v>
      </c>
      <c r="V34" s="27" t="n">
        <f aca="false">Supuestos!$B$72+(Supuestos!$B$73-Supuestos!$B$72)*V33</f>
        <v>459502.91528323</v>
      </c>
      <c r="W34" s="27" t="n">
        <f aca="false">Supuestos!$B$72+(Supuestos!$B$73-Supuestos!$B$72)*W33</f>
        <v>494539.616726822</v>
      </c>
      <c r="X34" s="27" t="n">
        <f aca="false">Supuestos!$B$72+(Supuestos!$B$73-Supuestos!$B$72)*X33</f>
        <v>533696.388279261</v>
      </c>
      <c r="Y34" s="27" t="n">
        <f aca="false">Supuestos!$B$72+(Supuestos!$B$73-Supuestos!$B$72)*Y33</f>
        <v>577471.011716184</v>
      </c>
      <c r="Z34" s="27" t="n">
        <f aca="false">Supuestos!$B$72+(Supuestos!$B$73-Supuestos!$B$72)*Z33</f>
        <v>626420.867691802</v>
      </c>
    </row>
    <row r="35" customFormat="false" ht="15" hidden="false" customHeight="true" outlineLevel="0" collapsed="false">
      <c r="A35" s="7" t="s">
        <v>230</v>
      </c>
      <c r="B35" s="3"/>
      <c r="C35" s="8" t="n">
        <f aca="false">Supuestos!$B$81</f>
        <v>62343.75</v>
      </c>
      <c r="D35" s="8" t="n">
        <f aca="false">Supuestos!$B$81</f>
        <v>62343.75</v>
      </c>
      <c r="E35" s="8" t="n">
        <f aca="false">Supuestos!$B$81</f>
        <v>62343.75</v>
      </c>
      <c r="F35" s="8" t="n">
        <f aca="false">Supuestos!$B$81</f>
        <v>62343.75</v>
      </c>
      <c r="G35" s="8" t="n">
        <f aca="false">Supuestos!$B$81</f>
        <v>62343.75</v>
      </c>
      <c r="H35" s="8" t="n">
        <f aca="false">Supuestos!$B$81</f>
        <v>62343.75</v>
      </c>
      <c r="I35" s="8" t="n">
        <f aca="false">Supuestos!$B$81</f>
        <v>62343.75</v>
      </c>
      <c r="J35" s="8" t="n">
        <f aca="false">Supuestos!$B$81</f>
        <v>62343.75</v>
      </c>
      <c r="K35" s="8" t="n">
        <f aca="false">Supuestos!$B$81</f>
        <v>62343.75</v>
      </c>
      <c r="L35" s="8" t="n">
        <f aca="false">Supuestos!$B$81</f>
        <v>62343.75</v>
      </c>
      <c r="M35" s="8" t="n">
        <f aca="false">Supuestos!$B$81</f>
        <v>62343.75</v>
      </c>
      <c r="N35" s="8" t="n">
        <f aca="false">Supuestos!$B$81</f>
        <v>62343.75</v>
      </c>
      <c r="O35" s="8" t="n">
        <f aca="false">Supuestos!$B$81</f>
        <v>62343.75</v>
      </c>
      <c r="P35" s="8" t="n">
        <f aca="false">Supuestos!$B$81</f>
        <v>62343.75</v>
      </c>
      <c r="Q35" s="8" t="n">
        <f aca="false">Supuestos!$B$81</f>
        <v>62343.75</v>
      </c>
      <c r="R35" s="8" t="n">
        <f aca="false">Supuestos!$B$81</f>
        <v>62343.75</v>
      </c>
      <c r="S35" s="8" t="n">
        <f aca="false">Supuestos!$B$81</f>
        <v>62343.75</v>
      </c>
      <c r="T35" s="8" t="n">
        <f aca="false">Supuestos!$B$81</f>
        <v>62343.75</v>
      </c>
      <c r="U35" s="8" t="n">
        <f aca="false">Supuestos!$B$81</f>
        <v>62343.75</v>
      </c>
      <c r="V35" s="8" t="n">
        <f aca="false">Supuestos!$B$81</f>
        <v>62343.75</v>
      </c>
      <c r="W35" s="8" t="n">
        <f aca="false">Supuestos!$B$81</f>
        <v>62343.75</v>
      </c>
      <c r="X35" s="8" t="n">
        <f aca="false">Supuestos!$B$81</f>
        <v>62343.75</v>
      </c>
      <c r="Y35" s="8" t="n">
        <f aca="false">Supuestos!$B$81</f>
        <v>62343.75</v>
      </c>
      <c r="Z35" s="8" t="n">
        <f aca="false">Supuestos!$B$81</f>
        <v>62343.75</v>
      </c>
    </row>
    <row r="36" customFormat="false" ht="15" hidden="false" customHeight="true" outlineLevel="0" collapsed="false">
      <c r="A36" s="7" t="s">
        <v>231</v>
      </c>
      <c r="B36" s="3"/>
      <c r="C36" s="27" t="n">
        <f aca="false">Supuestos!$B$74+(Supuestos!$B$75-Supuestos!$B$74)*C33</f>
        <v>121300</v>
      </c>
      <c r="D36" s="27" t="n">
        <f aca="false">Supuestos!$B$74+(Supuestos!$B$75-Supuestos!$B$74)*D33</f>
        <v>122704</v>
      </c>
      <c r="E36" s="27" t="n">
        <f aca="false">Supuestos!$B$74+(Supuestos!$B$75-Supuestos!$B$74)*E33</f>
        <v>124226.56</v>
      </c>
      <c r="F36" s="27" t="n">
        <f aca="false">Supuestos!$B$74+(Supuestos!$B$75-Supuestos!$B$74)*F33</f>
        <v>125883.904</v>
      </c>
      <c r="G36" s="27" t="n">
        <f aca="false">Supuestos!$B$74+(Supuestos!$B$75-Supuestos!$B$74)*G33</f>
        <v>127694.123008</v>
      </c>
      <c r="H36" s="27" t="n">
        <f aca="false">Supuestos!$B$74+(Supuestos!$B$75-Supuestos!$B$74)*H33</f>
        <v>129677.40227584</v>
      </c>
      <c r="I36" s="27" t="n">
        <f aca="false">Supuestos!$B$74+(Supuestos!$B$75-Supuestos!$B$74)*I33</f>
        <v>131856.275675546</v>
      </c>
      <c r="J36" s="27" t="n">
        <f aca="false">Supuestos!$B$74+(Supuestos!$B$75-Supuestos!$B$74)*J33</f>
        <v>134255.910478152</v>
      </c>
      <c r="K36" s="27" t="n">
        <f aca="false">Supuestos!$B$74+(Supuestos!$B$75-Supuestos!$B$74)*K33</f>
        <v>136904.426188209</v>
      </c>
      <c r="L36" s="27" t="n">
        <f aca="false">Supuestos!$B$74+(Supuestos!$B$75-Supuestos!$B$74)*L33</f>
        <v>139833.251525366</v>
      </c>
      <c r="M36" s="27" t="n">
        <f aca="false">Supuestos!$B$74+(Supuestos!$B$75-Supuestos!$B$74)*M33</f>
        <v>143077.524135199</v>
      </c>
      <c r="N36" s="27" t="n">
        <f aca="false">Supuestos!$B$74+(Supuestos!$B$75-Supuestos!$B$74)*N33</f>
        <v>146676.53816114</v>
      </c>
      <c r="O36" s="27" t="n">
        <f aca="false">Supuestos!$B$74+(Supuestos!$B$75-Supuestos!$B$74)*O33</f>
        <v>150674.245425005</v>
      </c>
      <c r="P36" s="27" t="n">
        <f aca="false">Supuestos!$B$74+(Supuestos!$B$75-Supuestos!$B$74)*P33</f>
        <v>155119.816653154</v>
      </c>
      <c r="Q36" s="27" t="n">
        <f aca="false">Supuestos!$B$74+(Supuestos!$B$75-Supuestos!$B$74)*Q33</f>
        <v>160068.269957594</v>
      </c>
      <c r="R36" s="27" t="n">
        <f aca="false">Supuestos!$B$74+(Supuestos!$B$75-Supuestos!$B$74)*R33</f>
        <v>165581.174646324</v>
      </c>
      <c r="S36" s="27" t="n">
        <f aca="false">Supuestos!$B$74+(Supuestos!$B$75-Supuestos!$B$74)*S33</f>
        <v>171727.439405949</v>
      </c>
      <c r="T36" s="27" t="n">
        <f aca="false">Supuestos!$B$74+(Supuestos!$B$75-Supuestos!$B$74)*T33</f>
        <v>178584.194984647</v>
      </c>
      <c r="U36" s="27" t="n">
        <f aca="false">Supuestos!$B$74+(Supuestos!$B$75-Supuestos!$B$74)*U33</f>
        <v>186237.782718789</v>
      </c>
      <c r="V36" s="27" t="n">
        <f aca="false">Supuestos!$B$74+(Supuestos!$B$75-Supuestos!$B$74)*V33</f>
        <v>194784.861607589</v>
      </c>
      <c r="W36" s="27" t="n">
        <f aca="false">Supuestos!$B$74+(Supuestos!$B$75-Supuestos!$B$74)*W33</f>
        <v>204333.648164543</v>
      </c>
      <c r="X36" s="27" t="n">
        <f aca="false">Supuestos!$B$74+(Supuestos!$B$75-Supuestos!$B$74)*X33</f>
        <v>215005.304981769</v>
      </c>
      <c r="Y36" s="27" t="n">
        <f aca="false">Supuestos!$B$74+(Supuestos!$B$75-Supuestos!$B$74)*Y33</f>
        <v>226935.495855564</v>
      </c>
      <c r="Z36" s="27" t="n">
        <f aca="false">Supuestos!$B$74+(Supuestos!$B$75-Supuestos!$B$74)*Z33</f>
        <v>240276.127463174</v>
      </c>
    </row>
    <row r="37" customFormat="false" ht="15" hidden="false" customHeight="true" outlineLevel="0" collapsed="false">
      <c r="A37" s="7" t="s">
        <v>232</v>
      </c>
      <c r="B37" s="3"/>
      <c r="C37" s="27" t="n">
        <f aca="false">C8*Escenarios!$B$12</f>
        <v>250000</v>
      </c>
      <c r="D37" s="27" t="n">
        <f aca="false">D8*Escenarios!$B$12</f>
        <v>280000</v>
      </c>
      <c r="E37" s="27" t="n">
        <f aca="false">E8*Escenarios!$B$12</f>
        <v>313600</v>
      </c>
      <c r="F37" s="27" t="n">
        <f aca="false">F8*Escenarios!$B$12</f>
        <v>351232</v>
      </c>
      <c r="G37" s="27" t="n">
        <f aca="false">G8*Escenarios!$B$12</f>
        <v>393379.84</v>
      </c>
      <c r="H37" s="27" t="n">
        <f aca="false">H8*Escenarios!$B$12</f>
        <v>440585.4208</v>
      </c>
      <c r="I37" s="27" t="n">
        <f aca="false">I8*Escenarios!$B$12</f>
        <v>493455.671296</v>
      </c>
      <c r="J37" s="27" t="n">
        <f aca="false">J8*Escenarios!$B$12</f>
        <v>552670.35185152</v>
      </c>
      <c r="K37" s="27" t="n">
        <f aca="false">K8*Escenarios!$B$12</f>
        <v>618990.794073703</v>
      </c>
      <c r="L37" s="27" t="n">
        <f aca="false">L8*Escenarios!$B$12</f>
        <v>693269.689362547</v>
      </c>
      <c r="M37" s="27" t="n">
        <f aca="false">M8*Escenarios!$B$12</f>
        <v>776462.052086053</v>
      </c>
      <c r="N37" s="27" t="n">
        <f aca="false">N8*Escenarios!$B$12</f>
        <v>869637.498336379</v>
      </c>
      <c r="O37" s="27" t="n">
        <f aca="false">O8*Escenarios!$B$12</f>
        <v>973993.998136745</v>
      </c>
      <c r="P37" s="27" t="n">
        <f aca="false">P8*Escenarios!$B$12</f>
        <v>1090873.27791315</v>
      </c>
      <c r="Q37" s="27" t="n">
        <f aca="false">Q8*Escenarios!$B$12</f>
        <v>1221778.07126273</v>
      </c>
      <c r="R37" s="27" t="n">
        <f aca="false">R8*Escenarios!$B$12</f>
        <v>1368391.43981426</v>
      </c>
      <c r="S37" s="27" t="n">
        <f aca="false">S8*Escenarios!$B$12</f>
        <v>1532598.41259197</v>
      </c>
      <c r="T37" s="27" t="n">
        <f aca="false">T8*Escenarios!$B$12</f>
        <v>1716510.22210301</v>
      </c>
      <c r="U37" s="27" t="n">
        <f aca="false">U8*Escenarios!$B$12</f>
        <v>1922491.44875537</v>
      </c>
      <c r="V37" s="27" t="n">
        <f aca="false">V8*Escenarios!$B$12</f>
        <v>2153190.42260602</v>
      </c>
      <c r="W37" s="27" t="n">
        <f aca="false">W8*Escenarios!$B$12</f>
        <v>2411573.27331874</v>
      </c>
      <c r="X37" s="27" t="n">
        <f aca="false">X8*Escenarios!$B$12</f>
        <v>2700962.06611699</v>
      </c>
      <c r="Y37" s="27" t="n">
        <f aca="false">Y8*Escenarios!$B$12</f>
        <v>3025077.51405103</v>
      </c>
      <c r="Z37" s="27" t="n">
        <f aca="false">Z8*Escenarios!$B$12</f>
        <v>3388086.81573715</v>
      </c>
    </row>
    <row r="38" customFormat="false" ht="15" hidden="false" customHeight="true" outlineLevel="0" collapsed="false">
      <c r="A38" s="7" t="s">
        <v>175</v>
      </c>
      <c r="B38" s="3"/>
      <c r="C38" s="27" t="n">
        <f aca="false">IF(C$4&gt;=Supuestos!$B$85,Supuestos!$B$84,0)</f>
        <v>0</v>
      </c>
      <c r="D38" s="27" t="n">
        <f aca="false">IF(D$4&gt;=Supuestos!$B$85,Supuestos!$B$84,0)</f>
        <v>0</v>
      </c>
      <c r="E38" s="27" t="n">
        <f aca="false">IF(E$4&gt;=Supuestos!$B$85,Supuestos!$B$84,0)</f>
        <v>0</v>
      </c>
      <c r="F38" s="27" t="n">
        <f aca="false">IF(F$4&gt;=Supuestos!$B$85,Supuestos!$B$84,0)</f>
        <v>0</v>
      </c>
      <c r="G38" s="27" t="n">
        <f aca="false">IF(G$4&gt;=Supuestos!$B$85,Supuestos!$B$84,0)</f>
        <v>0</v>
      </c>
      <c r="H38" s="27" t="n">
        <f aca="false">IF(H$4&gt;=Supuestos!$B$85,Supuestos!$B$84,0)</f>
        <v>0</v>
      </c>
      <c r="I38" s="27" t="n">
        <f aca="false">IF(I$4&gt;=Supuestos!$B$85,Supuestos!$B$84,0)</f>
        <v>1500000</v>
      </c>
      <c r="J38" s="27" t="n">
        <f aca="false">IF(J$4&gt;=Supuestos!$B$85,Supuestos!$B$84,0)</f>
        <v>1500000</v>
      </c>
      <c r="K38" s="27" t="n">
        <f aca="false">IF(K$4&gt;=Supuestos!$B$85,Supuestos!$B$84,0)</f>
        <v>1500000</v>
      </c>
      <c r="L38" s="27" t="n">
        <f aca="false">IF(L$4&gt;=Supuestos!$B$85,Supuestos!$B$84,0)</f>
        <v>1500000</v>
      </c>
      <c r="M38" s="27" t="n">
        <f aca="false">IF(M$4&gt;=Supuestos!$B$85,Supuestos!$B$84,0)</f>
        <v>1500000</v>
      </c>
      <c r="N38" s="27" t="n">
        <f aca="false">IF(N$4&gt;=Supuestos!$B$85,Supuestos!$B$84,0)</f>
        <v>1500000</v>
      </c>
      <c r="O38" s="27" t="n">
        <f aca="false">IF(O$4&gt;=Supuestos!$B$85,Supuestos!$B$84,0)</f>
        <v>1500000</v>
      </c>
      <c r="P38" s="27" t="n">
        <f aca="false">IF(P$4&gt;=Supuestos!$B$85,Supuestos!$B$84,0)</f>
        <v>1500000</v>
      </c>
      <c r="Q38" s="27" t="n">
        <f aca="false">IF(Q$4&gt;=Supuestos!$B$85,Supuestos!$B$84,0)</f>
        <v>1500000</v>
      </c>
      <c r="R38" s="27" t="n">
        <f aca="false">IF(R$4&gt;=Supuestos!$B$85,Supuestos!$B$84,0)</f>
        <v>1500000</v>
      </c>
      <c r="S38" s="27" t="n">
        <f aca="false">IF(S$4&gt;=Supuestos!$B$85,Supuestos!$B$84,0)</f>
        <v>1500000</v>
      </c>
      <c r="T38" s="27" t="n">
        <f aca="false">IF(T$4&gt;=Supuestos!$B$85,Supuestos!$B$84,0)</f>
        <v>1500000</v>
      </c>
      <c r="U38" s="27" t="n">
        <f aca="false">IF(U$4&gt;=Supuestos!$B$85,Supuestos!$B$84,0)</f>
        <v>1500000</v>
      </c>
      <c r="V38" s="27" t="n">
        <f aca="false">IF(V$4&gt;=Supuestos!$B$85,Supuestos!$B$84,0)</f>
        <v>1500000</v>
      </c>
      <c r="W38" s="27" t="n">
        <f aca="false">IF(W$4&gt;=Supuestos!$B$85,Supuestos!$B$84,0)</f>
        <v>1500000</v>
      </c>
      <c r="X38" s="27" t="n">
        <f aca="false">IF(X$4&gt;=Supuestos!$B$85,Supuestos!$B$84,0)</f>
        <v>1500000</v>
      </c>
      <c r="Y38" s="27" t="n">
        <f aca="false">IF(Y$4&gt;=Supuestos!$B$85,Supuestos!$B$84,0)</f>
        <v>1500000</v>
      </c>
      <c r="Z38" s="27" t="n">
        <f aca="false">IF(Z$4&gt;=Supuestos!$B$85,Supuestos!$B$84,0)</f>
        <v>1500000</v>
      </c>
    </row>
    <row r="39" customFormat="false" ht="15" hidden="false" customHeight="true" outlineLevel="0" collapsed="false">
      <c r="A39" s="7" t="s">
        <v>233</v>
      </c>
      <c r="B39" s="3"/>
      <c r="C39" s="27" t="n">
        <f aca="false">IF(C$4=1,Supuestos!$B$86,0)</f>
        <v>600000</v>
      </c>
      <c r="D39" s="27" t="n">
        <f aca="false">IF(D$4=1,Supuestos!$B$86,0)</f>
        <v>0</v>
      </c>
      <c r="E39" s="27" t="n">
        <f aca="false">IF(E$4=1,Supuestos!$B$86,0)</f>
        <v>0</v>
      </c>
      <c r="F39" s="27" t="n">
        <f aca="false">IF(F$4=1,Supuestos!$B$86,0)</f>
        <v>0</v>
      </c>
      <c r="G39" s="27" t="n">
        <f aca="false">IF(G$4=1,Supuestos!$B$86,0)</f>
        <v>0</v>
      </c>
      <c r="H39" s="27" t="n">
        <f aca="false">IF(H$4=1,Supuestos!$B$86,0)</f>
        <v>0</v>
      </c>
      <c r="I39" s="27" t="n">
        <f aca="false">IF(I$4=1,Supuestos!$B$86,0)</f>
        <v>0</v>
      </c>
      <c r="J39" s="27" t="n">
        <f aca="false">IF(J$4=1,Supuestos!$B$86,0)</f>
        <v>0</v>
      </c>
      <c r="K39" s="27" t="n">
        <f aca="false">IF(K$4=1,Supuestos!$B$86,0)</f>
        <v>0</v>
      </c>
      <c r="L39" s="27" t="n">
        <f aca="false">IF(L$4=1,Supuestos!$B$86,0)</f>
        <v>0</v>
      </c>
      <c r="M39" s="27" t="n">
        <f aca="false">IF(M$4=1,Supuestos!$B$86,0)</f>
        <v>0</v>
      </c>
      <c r="N39" s="27" t="n">
        <f aca="false">IF(N$4=1,Supuestos!$B$86,0)</f>
        <v>0</v>
      </c>
      <c r="O39" s="27" t="n">
        <f aca="false">IF(O$4=1,Supuestos!$B$86,0)</f>
        <v>0</v>
      </c>
      <c r="P39" s="27" t="n">
        <f aca="false">IF(P$4=1,Supuestos!$B$86,0)</f>
        <v>0</v>
      </c>
      <c r="Q39" s="27" t="n">
        <f aca="false">IF(Q$4=1,Supuestos!$B$86,0)</f>
        <v>0</v>
      </c>
      <c r="R39" s="27" t="n">
        <f aca="false">IF(R$4=1,Supuestos!$B$86,0)</f>
        <v>0</v>
      </c>
      <c r="S39" s="27" t="n">
        <f aca="false">IF(S$4=1,Supuestos!$B$86,0)</f>
        <v>0</v>
      </c>
      <c r="T39" s="27" t="n">
        <f aca="false">IF(T$4=1,Supuestos!$B$86,0)</f>
        <v>0</v>
      </c>
      <c r="U39" s="27" t="n">
        <f aca="false">IF(U$4=1,Supuestos!$B$86,0)</f>
        <v>0</v>
      </c>
      <c r="V39" s="27" t="n">
        <f aca="false">IF(V$4=1,Supuestos!$B$86,0)</f>
        <v>0</v>
      </c>
      <c r="W39" s="27" t="n">
        <f aca="false">IF(W$4=1,Supuestos!$B$86,0)</f>
        <v>0</v>
      </c>
      <c r="X39" s="27" t="n">
        <f aca="false">IF(X$4=1,Supuestos!$B$86,0)</f>
        <v>0</v>
      </c>
      <c r="Y39" s="27" t="n">
        <f aca="false">IF(Y$4=1,Supuestos!$B$86,0)</f>
        <v>0</v>
      </c>
      <c r="Z39" s="27" t="n">
        <f aca="false">IF(Z$4=1,Supuestos!$B$86,0)</f>
        <v>0</v>
      </c>
    </row>
    <row r="40" customFormat="false" ht="15" hidden="false" customHeight="true" outlineLevel="0" collapsed="false">
      <c r="A40" s="14" t="s">
        <v>234</v>
      </c>
      <c r="B40" s="3"/>
      <c r="C40" s="28" t="n">
        <f aca="false">SUM(C34:C39)</f>
        <v>1223513.75</v>
      </c>
      <c r="D40" s="28" t="n">
        <f aca="false">SUM(D34:D39)</f>
        <v>660069.35</v>
      </c>
      <c r="E40" s="28" t="n">
        <f aca="false">SUM(E34:E39)</f>
        <v>700778.534</v>
      </c>
      <c r="F40" s="28" t="n">
        <f aca="false">SUM(F34:F39)</f>
        <v>746149.0556</v>
      </c>
      <c r="G40" s="28" t="n">
        <f aca="false">SUM(G34:G39)</f>
        <v>796749.2258912</v>
      </c>
      <c r="H40" s="28" t="n">
        <f aca="false">SUM(H34:H39)</f>
        <v>853215.195272576</v>
      </c>
      <c r="I40" s="28" t="n">
        <f aca="false">SUM(I34:I39)</f>
        <v>2416259.10848874</v>
      </c>
      <c r="J40" s="28" t="n">
        <f aca="false">SUM(J34:J39)</f>
        <v>2486678.23769951</v>
      </c>
      <c r="K40" s="28" t="n">
        <f aca="false">SUM(K34:K39)</f>
        <v>2565365.21096788</v>
      </c>
      <c r="L40" s="28" t="n">
        <f aca="false">SUM(L34:L39)</f>
        <v>2653319.46763868</v>
      </c>
      <c r="M40" s="28" t="n">
        <f aca="false">SUM(M34:M39)</f>
        <v>2751660.08785579</v>
      </c>
      <c r="N40" s="28" t="n">
        <f aca="false">SUM(N34:N39)</f>
        <v>2861640.16113493</v>
      </c>
      <c r="O40" s="28" t="n">
        <f aca="false">SUM(O34:O39)</f>
        <v>2984662.87869812</v>
      </c>
      <c r="P40" s="28" t="n">
        <f aca="false">SUM(P34:P39)</f>
        <v>3122299.5564398</v>
      </c>
      <c r="Q40" s="28" t="n">
        <f aca="false">SUM(Q34:Q39)</f>
        <v>3276309.82021857</v>
      </c>
      <c r="R40" s="28" t="n">
        <f aca="false">SUM(R34:R39)</f>
        <v>3448664.21297056</v>
      </c>
      <c r="S40" s="28" t="n">
        <f aca="false">SUM(S34:S39)</f>
        <v>3641569.51427975</v>
      </c>
      <c r="T40" s="28" t="n">
        <f aca="false">SUM(T34:T39)</f>
        <v>3857497.09791594</v>
      </c>
      <c r="U40" s="28" t="n">
        <f aca="false">SUM(U34:U39)</f>
        <v>4099214.69191156</v>
      </c>
      <c r="V40" s="28" t="n">
        <f aca="false">SUM(V34:V39)</f>
        <v>4369821.94949683</v>
      </c>
      <c r="W40" s="28" t="n">
        <f aca="false">SUM(W34:W39)</f>
        <v>4672790.2882101</v>
      </c>
      <c r="X40" s="28" t="n">
        <f aca="false">SUM(X34:X39)</f>
        <v>5012007.50937802</v>
      </c>
      <c r="Y40" s="28" t="n">
        <f aca="false">SUM(Y34:Y39)</f>
        <v>5391827.77162277</v>
      </c>
      <c r="Z40" s="28" t="n">
        <f aca="false">SUM(Z34:Z39)</f>
        <v>5817127.56089213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11" t="s">
        <v>235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5" hidden="false" customHeight="true" outlineLevel="0" collapsed="false">
      <c r="A43" s="14" t="s">
        <v>12</v>
      </c>
      <c r="B43" s="3"/>
      <c r="C43" s="28" t="n">
        <f aca="false">C29-C40</f>
        <v>-1013054.52639181</v>
      </c>
      <c r="D43" s="28" t="n">
        <f aca="false">D29-D40</f>
        <v>-222314.164894958</v>
      </c>
      <c r="E43" s="28" t="n">
        <f aca="false">E29-E40</f>
        <v>-16533.5062050421</v>
      </c>
      <c r="F43" s="28" t="n">
        <f aca="false">F29-F40</f>
        <v>206406.227188571</v>
      </c>
      <c r="G43" s="28" t="n">
        <f aca="false">G29-G40</f>
        <v>448865.50842389</v>
      </c>
      <c r="H43" s="28" t="n">
        <f aca="false">H29-H40</f>
        <v>713476.012048539</v>
      </c>
      <c r="I43" s="28" t="n">
        <f aca="false">I29-I40</f>
        <v>-496826.359596405</v>
      </c>
      <c r="J43" s="28" t="n">
        <f aca="false">J29-J40</f>
        <v>-178764.506115112</v>
      </c>
      <c r="K43" s="28" t="n">
        <f aca="false">K29-K40</f>
        <v>171321.259118621</v>
      </c>
      <c r="L43" s="28" t="n">
        <f aca="false">L29-L40</f>
        <v>557519.545941702</v>
      </c>
      <c r="M43" s="28" t="n">
        <f aca="false">M29-M40</f>
        <v>984399.767754397</v>
      </c>
      <c r="N43" s="28" t="n">
        <f aca="false">N29-N40</f>
        <v>1457070.23113263</v>
      </c>
      <c r="O43" s="28" t="n">
        <f aca="false">O29-O40</f>
        <v>1981243.18046634</v>
      </c>
      <c r="P43" s="28" t="n">
        <f aca="false">P29-P40</f>
        <v>2563307.63285619</v>
      </c>
      <c r="Q43" s="28" t="n">
        <f aca="false">Q29-Q40</f>
        <v>3210410.93870346</v>
      </c>
      <c r="R43" s="28" t="n">
        <f aca="false">R29-R40</f>
        <v>3930550.11565622</v>
      </c>
      <c r="S43" s="28" t="n">
        <f aca="false">S29-S40</f>
        <v>4732674.12927098</v>
      </c>
      <c r="T43" s="28" t="n">
        <f aca="false">T29-T40</f>
        <v>5626798.43453007</v>
      </c>
      <c r="U43" s="28" t="n">
        <f aca="false">U29-U40</f>
        <v>6654038.18453169</v>
      </c>
      <c r="V43" s="28" t="n">
        <f aca="false">V29-V40</f>
        <v>7973630.2919531</v>
      </c>
      <c r="W43" s="28" t="n">
        <f aca="false">W29-W40</f>
        <v>9447230.82747247</v>
      </c>
      <c r="X43" s="28" t="n">
        <f aca="false">X29-X40</f>
        <v>11093494.5074532</v>
      </c>
      <c r="Y43" s="28" t="n">
        <f aca="false">Y29-Y40</f>
        <v>12933307.6660228</v>
      </c>
      <c r="Z43" s="28" t="n">
        <f aca="false">Z29-Z40</f>
        <v>14990056.3271323</v>
      </c>
    </row>
    <row r="44" customFormat="false" ht="15" hidden="false" customHeight="true" outlineLevel="0" collapsed="false">
      <c r="A44" s="7" t="s">
        <v>236</v>
      </c>
      <c r="B44" s="3"/>
      <c r="C44" s="27" t="n">
        <f aca="false">IF(C$4&lt;=Supuestos!$B$88,Supuestos!$B$89,0)</f>
        <v>50000</v>
      </c>
      <c r="D44" s="27" t="n">
        <f aca="false">IF(D$4&lt;=Supuestos!$B$88,Supuestos!$B$89,0)</f>
        <v>50000</v>
      </c>
      <c r="E44" s="27" t="n">
        <f aca="false">IF(E$4&lt;=Supuestos!$B$88,Supuestos!$B$89,0)</f>
        <v>50000</v>
      </c>
      <c r="F44" s="27" t="n">
        <f aca="false">IF(F$4&lt;=Supuestos!$B$88,Supuestos!$B$89,0)</f>
        <v>50000</v>
      </c>
      <c r="G44" s="27" t="n">
        <f aca="false">IF(G$4&lt;=Supuestos!$B$88,Supuestos!$B$89,0)</f>
        <v>50000</v>
      </c>
      <c r="H44" s="27" t="n">
        <f aca="false">IF(H$4&lt;=Supuestos!$B$88,Supuestos!$B$89,0)</f>
        <v>50000</v>
      </c>
      <c r="I44" s="27" t="n">
        <f aca="false">IF(I$4&lt;=Supuestos!$B$88,Supuestos!$B$89,0)</f>
        <v>50000</v>
      </c>
      <c r="J44" s="27" t="n">
        <f aca="false">IF(J$4&lt;=Supuestos!$B$88,Supuestos!$B$89,0)</f>
        <v>50000</v>
      </c>
      <c r="K44" s="27" t="n">
        <f aca="false">IF(K$4&lt;=Supuestos!$B$88,Supuestos!$B$89,0)</f>
        <v>50000</v>
      </c>
      <c r="L44" s="27" t="n">
        <f aca="false">IF(L$4&lt;=Supuestos!$B$88,Supuestos!$B$89,0)</f>
        <v>50000</v>
      </c>
      <c r="M44" s="27" t="n">
        <f aca="false">IF(M$4&lt;=Supuestos!$B$88,Supuestos!$B$89,0)</f>
        <v>50000</v>
      </c>
      <c r="N44" s="27" t="n">
        <f aca="false">IF(N$4&lt;=Supuestos!$B$88,Supuestos!$B$89,0)</f>
        <v>50000</v>
      </c>
      <c r="O44" s="27" t="n">
        <f aca="false">IF(O$4&lt;=Supuestos!$B$88,Supuestos!$B$89,0)</f>
        <v>50000</v>
      </c>
      <c r="P44" s="27" t="n">
        <f aca="false">IF(P$4&lt;=Supuestos!$B$88,Supuestos!$B$89,0)</f>
        <v>50000</v>
      </c>
      <c r="Q44" s="27" t="n">
        <f aca="false">IF(Q$4&lt;=Supuestos!$B$88,Supuestos!$B$89,0)</f>
        <v>50000</v>
      </c>
      <c r="R44" s="27" t="n">
        <f aca="false">IF(R$4&lt;=Supuestos!$B$88,Supuestos!$B$89,0)</f>
        <v>50000</v>
      </c>
      <c r="S44" s="27" t="n">
        <f aca="false">IF(S$4&lt;=Supuestos!$B$88,Supuestos!$B$89,0)</f>
        <v>50000</v>
      </c>
      <c r="T44" s="27" t="n">
        <f aca="false">IF(T$4&lt;=Supuestos!$B$88,Supuestos!$B$89,0)</f>
        <v>50000</v>
      </c>
      <c r="U44" s="27" t="n">
        <f aca="false">IF(U$4&lt;=Supuestos!$B$88,Supuestos!$B$89,0)</f>
        <v>50000</v>
      </c>
      <c r="V44" s="27" t="n">
        <f aca="false">IF(V$4&lt;=Supuestos!$B$88,Supuestos!$B$89,0)</f>
        <v>50000</v>
      </c>
      <c r="W44" s="27" t="n">
        <f aca="false">IF(W$4&lt;=Supuestos!$B$88,Supuestos!$B$89,0)</f>
        <v>50000</v>
      </c>
      <c r="X44" s="27" t="n">
        <f aca="false">IF(X$4&lt;=Supuestos!$B$88,Supuestos!$B$89,0)</f>
        <v>50000</v>
      </c>
      <c r="Y44" s="27" t="n">
        <f aca="false">IF(Y$4&lt;=Supuestos!$B$88,Supuestos!$B$89,0)</f>
        <v>50000</v>
      </c>
      <c r="Z44" s="27" t="n">
        <f aca="false">IF(Z$4&lt;=Supuestos!$B$88,Supuestos!$B$89,0)</f>
        <v>50000</v>
      </c>
    </row>
    <row r="45" customFormat="false" ht="15" hidden="false" customHeight="true" outlineLevel="0" collapsed="false">
      <c r="A45" s="14" t="s">
        <v>13</v>
      </c>
      <c r="B45" s="3"/>
      <c r="C45" s="28" t="n">
        <f aca="false">C43-C44</f>
        <v>-1063054.52639181</v>
      </c>
      <c r="D45" s="28" t="n">
        <f aca="false">D43-D44</f>
        <v>-272314.164894958</v>
      </c>
      <c r="E45" s="28" t="n">
        <f aca="false">E43-E44</f>
        <v>-66533.5062050421</v>
      </c>
      <c r="F45" s="28" t="n">
        <f aca="false">F43-F44</f>
        <v>156406.227188571</v>
      </c>
      <c r="G45" s="28" t="n">
        <f aca="false">G43-G44</f>
        <v>398865.50842389</v>
      </c>
      <c r="H45" s="28" t="n">
        <f aca="false">H43-H44</f>
        <v>663476.012048539</v>
      </c>
      <c r="I45" s="28" t="n">
        <f aca="false">I43-I44</f>
        <v>-546826.359596405</v>
      </c>
      <c r="J45" s="28" t="n">
        <f aca="false">J43-J44</f>
        <v>-228764.506115112</v>
      </c>
      <c r="K45" s="28" t="n">
        <f aca="false">K43-K44</f>
        <v>121321.259118621</v>
      </c>
      <c r="L45" s="28" t="n">
        <f aca="false">L43-L44</f>
        <v>507519.545941702</v>
      </c>
      <c r="M45" s="28" t="n">
        <f aca="false">M43-M44</f>
        <v>934399.767754397</v>
      </c>
      <c r="N45" s="28" t="n">
        <f aca="false">N43-N44</f>
        <v>1407070.23113263</v>
      </c>
      <c r="O45" s="28" t="n">
        <f aca="false">O43-O44</f>
        <v>1931243.18046634</v>
      </c>
      <c r="P45" s="28" t="n">
        <f aca="false">P43-P44</f>
        <v>2513307.63285619</v>
      </c>
      <c r="Q45" s="28" t="n">
        <f aca="false">Q43-Q44</f>
        <v>3160410.93870346</v>
      </c>
      <c r="R45" s="28" t="n">
        <f aca="false">R43-R44</f>
        <v>3880550.11565622</v>
      </c>
      <c r="S45" s="28" t="n">
        <f aca="false">S43-S44</f>
        <v>4682674.12927098</v>
      </c>
      <c r="T45" s="28" t="n">
        <f aca="false">T43-T44</f>
        <v>5576798.43453007</v>
      </c>
      <c r="U45" s="28" t="n">
        <f aca="false">U43-U44</f>
        <v>6604038.18453169</v>
      </c>
      <c r="V45" s="28" t="n">
        <f aca="false">V43-V44</f>
        <v>7923630.2919531</v>
      </c>
      <c r="W45" s="28" t="n">
        <f aca="false">W43-W44</f>
        <v>9397230.82747247</v>
      </c>
      <c r="X45" s="28" t="n">
        <f aca="false">X43-X44</f>
        <v>11043494.5074532</v>
      </c>
      <c r="Y45" s="28" t="n">
        <f aca="false">Y43-Y44</f>
        <v>12883307.6660228</v>
      </c>
      <c r="Z45" s="28" t="n">
        <f aca="false">Z43-Z44</f>
        <v>14940056.3271323</v>
      </c>
    </row>
    <row r="46" customFormat="false" ht="15" hidden="false" customHeight="true" outlineLevel="0" collapsed="false">
      <c r="A46" s="14" t="s">
        <v>237</v>
      </c>
      <c r="B46" s="3"/>
      <c r="C46" s="28" t="n">
        <f aca="false">C45</f>
        <v>-1063054.52639181</v>
      </c>
      <c r="D46" s="28" t="n">
        <f aca="false">C46+D45</f>
        <v>-1335368.69128676</v>
      </c>
      <c r="E46" s="28" t="n">
        <f aca="false">D46+E45</f>
        <v>-1401902.19749181</v>
      </c>
      <c r="F46" s="28" t="n">
        <f aca="false">E46+F45</f>
        <v>-1245495.97030324</v>
      </c>
      <c r="G46" s="28" t="n">
        <f aca="false">F46+G45</f>
        <v>-846630.461879346</v>
      </c>
      <c r="H46" s="28" t="n">
        <f aca="false">G46+H45</f>
        <v>-183154.449830807</v>
      </c>
      <c r="I46" s="28" t="n">
        <f aca="false">H46+I45</f>
        <v>-729980.809427212</v>
      </c>
      <c r="J46" s="28" t="n">
        <f aca="false">I46+J45</f>
        <v>-958745.315542324</v>
      </c>
      <c r="K46" s="28" t="n">
        <f aca="false">J46+K45</f>
        <v>-837424.056423703</v>
      </c>
      <c r="L46" s="28" t="n">
        <f aca="false">K46+L45</f>
        <v>-329904.510482001</v>
      </c>
      <c r="M46" s="28" t="n">
        <f aca="false">L46+M45</f>
        <v>604495.257272396</v>
      </c>
      <c r="N46" s="28" t="n">
        <f aca="false">M46+N45</f>
        <v>2011565.48840503</v>
      </c>
      <c r="O46" s="28" t="n">
        <f aca="false">N46+O45</f>
        <v>3942808.66887137</v>
      </c>
      <c r="P46" s="28" t="n">
        <f aca="false">O46+P45</f>
        <v>6456116.30172755</v>
      </c>
      <c r="Q46" s="28" t="n">
        <f aca="false">P46+Q45</f>
        <v>9616527.24043101</v>
      </c>
      <c r="R46" s="28" t="n">
        <f aca="false">Q46+R45</f>
        <v>13497077.3560872</v>
      </c>
      <c r="S46" s="28" t="n">
        <f aca="false">R46+S45</f>
        <v>18179751.4853582</v>
      </c>
      <c r="T46" s="28" t="n">
        <f aca="false">S46+T45</f>
        <v>23756549.9198883</v>
      </c>
      <c r="U46" s="28" t="n">
        <f aca="false">T46+U45</f>
        <v>30360588.10442</v>
      </c>
      <c r="V46" s="28" t="n">
        <f aca="false">U46+V45</f>
        <v>38284218.3963731</v>
      </c>
      <c r="W46" s="28" t="n">
        <f aca="false">V46+W45</f>
        <v>47681449.2238455</v>
      </c>
      <c r="X46" s="28" t="n">
        <f aca="false">W46+X45</f>
        <v>58724943.7312988</v>
      </c>
      <c r="Y46" s="28" t="n">
        <f aca="false">X46+Y45</f>
        <v>71608251.3973216</v>
      </c>
      <c r="Z46" s="28" t="n">
        <f aca="false">Y46+Z45</f>
        <v>86548307.7244539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11" t="s">
        <v>238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5" hidden="false" customHeight="true" outlineLevel="0" collapsed="false">
      <c r="A49" s="7" t="s">
        <v>239</v>
      </c>
      <c r="B49" s="3"/>
      <c r="C49" s="27" t="n">
        <f aca="false">C22*12</f>
        <v>3144989.49579832</v>
      </c>
      <c r="D49" s="27" t="n">
        <f aca="false">D22*12</f>
        <v>6541578.1512605</v>
      </c>
      <c r="E49" s="27" t="n">
        <f aca="false">E22*12</f>
        <v>10224989.8487395</v>
      </c>
      <c r="F49" s="27" t="n">
        <f aca="false">F22*12</f>
        <v>14234474.0571429</v>
      </c>
      <c r="G49" s="27" t="n">
        <f aca="false">G22*12</f>
        <v>18613796.9534924</v>
      </c>
      <c r="H49" s="27" t="n">
        <f aca="false">H22*12</f>
        <v>23411791.1570243</v>
      </c>
      <c r="I49" s="27" t="n">
        <f aca="false">I22*12</f>
        <v>28682971.1222154</v>
      </c>
      <c r="J49" s="27" t="n">
        <f aca="false">J22*12</f>
        <v>34488222.0821756</v>
      </c>
      <c r="K49" s="27" t="n">
        <f aca="false">K22*12</f>
        <v>40895571.3803192</v>
      </c>
      <c r="L49" s="27" t="n">
        <f aca="false">L22*12</f>
        <v>47981052.0883087</v>
      </c>
      <c r="M49" s="27" t="n">
        <f aca="false">M22*12</f>
        <v>55829669.9955629</v>
      </c>
      <c r="N49" s="27" t="n">
        <f aca="false">N22*12</f>
        <v>64536486.3854214</v>
      </c>
      <c r="O49" s="27" t="n">
        <f aca="false">O22*12</f>
        <v>74207830.5024472</v>
      </c>
      <c r="P49" s="27" t="n">
        <f aca="false">P22*12</f>
        <v>84962657.2834851</v>
      </c>
      <c r="Q49" s="27" t="n">
        <f aca="false">Q22*12</f>
        <v>96934067.7934178</v>
      </c>
      <c r="R49" s="27" t="n">
        <f aca="false">R22*12</f>
        <v>110271011.899106</v>
      </c>
      <c r="S49" s="27" t="n">
        <f aca="false">S22*12</f>
        <v>125140195.058657</v>
      </c>
      <c r="T49" s="27" t="n">
        <f aca="false">T22*12</f>
        <v>141728213.728089</v>
      </c>
      <c r="U49" s="27" t="n">
        <f aca="false">U22*12</f>
        <v>160618402.103628</v>
      </c>
      <c r="V49" s="27" t="n">
        <f aca="false">V22*12</f>
        <v>183881360.201075</v>
      </c>
      <c r="W49" s="27" t="n">
        <f aca="false">W22*12</f>
        <v>209870709.831036</v>
      </c>
      <c r="X49" s="27" t="n">
        <f aca="false">X22*12</f>
        <v>238916224.514981</v>
      </c>
      <c r="Y49" s="27" t="n">
        <f aca="false">Y22*12</f>
        <v>271387146.335453</v>
      </c>
      <c r="Z49" s="27" t="n">
        <f aca="false">Z22*12</f>
        <v>307696926.333856</v>
      </c>
    </row>
    <row r="50" customFormat="false" ht="15" hidden="false" customHeight="true" outlineLevel="0" collapsed="false">
      <c r="A50" s="7" t="s">
        <v>240</v>
      </c>
      <c r="B50" s="3"/>
      <c r="C50" s="27" t="n">
        <f aca="false">IF(C9=0,0,C22/C9)</f>
        <v>26208.2457983193</v>
      </c>
      <c r="D50" s="27" t="n">
        <f aca="false">IF(D9=0,0,D22/D9)</f>
        <v>26208.2457983193</v>
      </c>
      <c r="E50" s="27" t="n">
        <f aca="false">IF(E9=0,0,E22/E9)</f>
        <v>26208.2457983193</v>
      </c>
      <c r="F50" s="27" t="n">
        <f aca="false">IF(F9=0,0,F22/F9)</f>
        <v>26208.2457983193</v>
      </c>
      <c r="G50" s="27" t="n">
        <f aca="false">IF(G9=0,0,G22/G9)</f>
        <v>26208.2457983193</v>
      </c>
      <c r="H50" s="27" t="n">
        <f aca="false">IF(H9=0,0,H22/H9)</f>
        <v>26208.2457983193</v>
      </c>
      <c r="I50" s="27" t="n">
        <f aca="false">IF(I9=0,0,I22/I9)</f>
        <v>26208.2457983193</v>
      </c>
      <c r="J50" s="27" t="n">
        <f aca="false">IF(J9=0,0,J22/J9)</f>
        <v>26208.2457983193</v>
      </c>
      <c r="K50" s="27" t="n">
        <f aca="false">IF(K9=0,0,K22/K9)</f>
        <v>26208.2457983193</v>
      </c>
      <c r="L50" s="27" t="n">
        <f aca="false">IF(L9=0,0,L22/L9)</f>
        <v>26208.2457983193</v>
      </c>
      <c r="M50" s="27" t="n">
        <f aca="false">IF(M9=0,0,M22/M9)</f>
        <v>26208.2457983193</v>
      </c>
      <c r="N50" s="27" t="n">
        <f aca="false">IF(N9=0,0,N22/N9)</f>
        <v>26208.2457983193</v>
      </c>
      <c r="O50" s="27" t="n">
        <f aca="false">IF(O9=0,0,O22/O9)</f>
        <v>26208.2457983193</v>
      </c>
      <c r="P50" s="27" t="n">
        <f aca="false">IF(P9=0,0,P22/P9)</f>
        <v>26208.2457983193</v>
      </c>
      <c r="Q50" s="27" t="n">
        <f aca="false">IF(Q9=0,0,Q22/Q9)</f>
        <v>26208.2457983193</v>
      </c>
      <c r="R50" s="27" t="n">
        <f aca="false">IF(R9=0,0,R22/R9)</f>
        <v>26208.2457983193</v>
      </c>
      <c r="S50" s="27" t="n">
        <f aca="false">IF(S9=0,0,S22/S9)</f>
        <v>26208.2457983193</v>
      </c>
      <c r="T50" s="27" t="n">
        <f aca="false">IF(T9=0,0,T22/T9)</f>
        <v>26208.2457983193</v>
      </c>
      <c r="U50" s="27" t="n">
        <f aca="false">IF(U9=0,0,U22/U9)</f>
        <v>26269.4887726427</v>
      </c>
      <c r="V50" s="27" t="n">
        <f aca="false">IF(V9=0,0,V22/V9)</f>
        <v>26637.0496116935</v>
      </c>
      <c r="W50" s="27" t="n">
        <f aca="false">IF(W9=0,0,W22/W9)</f>
        <v>26959.575519215</v>
      </c>
      <c r="X50" s="27" t="n">
        <f aca="false">IF(X9=0,0,X22/X9)</f>
        <v>27243.3113015001</v>
      </c>
      <c r="Y50" s="27" t="n">
        <f aca="false">IF(Y9=0,0,Y22/Y9)</f>
        <v>27493.4659919203</v>
      </c>
      <c r="Z50" s="27" t="n">
        <f aca="false">IF(Z9=0,0,Z22/Z9)</f>
        <v>27714.4221295068</v>
      </c>
    </row>
    <row r="51" customFormat="false" ht="15" hidden="false" customHeight="true" outlineLevel="0" collapsed="false">
      <c r="A51" s="7" t="s">
        <v>241</v>
      </c>
      <c r="B51" s="3"/>
      <c r="C51" s="27" t="n">
        <f aca="false">IF(C9=0,0,C29/C9)</f>
        <v>21045.9223608193</v>
      </c>
      <c r="D51" s="27" t="n">
        <f aca="false">IF(D9=0,0,D29/D9)</f>
        <v>21045.9223608193</v>
      </c>
      <c r="E51" s="27" t="n">
        <f aca="false">IF(E9=0,0,E29/E9)</f>
        <v>21045.9223608193</v>
      </c>
      <c r="F51" s="27" t="n">
        <f aca="false">IF(F9=0,0,F29/F9)</f>
        <v>21045.9223608193</v>
      </c>
      <c r="G51" s="27" t="n">
        <f aca="false">IF(G9=0,0,G29/G9)</f>
        <v>21045.9223608193</v>
      </c>
      <c r="H51" s="27" t="n">
        <f aca="false">IF(H9=0,0,H29/H9)</f>
        <v>21045.9223608193</v>
      </c>
      <c r="I51" s="27" t="n">
        <f aca="false">IF(I9=0,0,I29/I9)</f>
        <v>21045.9223608193</v>
      </c>
      <c r="J51" s="27" t="n">
        <f aca="false">IF(J9=0,0,J29/J9)</f>
        <v>21045.9223608193</v>
      </c>
      <c r="K51" s="27" t="n">
        <f aca="false">IF(K9=0,0,K29/K9)</f>
        <v>21045.9223608193</v>
      </c>
      <c r="L51" s="27" t="n">
        <f aca="false">IF(L9=0,0,L29/L9)</f>
        <v>21045.9223608193</v>
      </c>
      <c r="M51" s="27" t="n">
        <f aca="false">IF(M9=0,0,M29/M9)</f>
        <v>21045.9223608193</v>
      </c>
      <c r="N51" s="27" t="n">
        <f aca="false">IF(N9=0,0,N29/N9)</f>
        <v>21045.9223608193</v>
      </c>
      <c r="O51" s="27" t="n">
        <f aca="false">IF(O9=0,0,O29/O9)</f>
        <v>21045.9223608193</v>
      </c>
      <c r="P51" s="27" t="n">
        <f aca="false">IF(P9=0,0,P29/P9)</f>
        <v>21045.9223608193</v>
      </c>
      <c r="Q51" s="27" t="n">
        <f aca="false">IF(Q9=0,0,Q29/Q9)</f>
        <v>21045.9223608193</v>
      </c>
      <c r="R51" s="27" t="n">
        <f aca="false">IF(R9=0,0,R29/R9)</f>
        <v>21045.9223608193</v>
      </c>
      <c r="S51" s="27" t="n">
        <f aca="false">IF(S9=0,0,S29/S9)</f>
        <v>21045.9223608193</v>
      </c>
      <c r="T51" s="27" t="n">
        <f aca="false">IF(T9=0,0,T29/T9)</f>
        <v>21045.9223608193</v>
      </c>
      <c r="U51" s="27" t="n">
        <f aca="false">IF(U9=0,0,U29/U9)</f>
        <v>21104.6145652621</v>
      </c>
      <c r="V51" s="27" t="n">
        <f aca="false">IF(V9=0,0,V29/V9)</f>
        <v>21456.8664953665</v>
      </c>
      <c r="W51" s="27" t="n">
        <f aca="false">IF(W9=0,0,W29/W9)</f>
        <v>21765.9591988397</v>
      </c>
      <c r="X51" s="27" t="n">
        <f aca="false">IF(X9=0,0,X29/X9)</f>
        <v>22037.8773857926</v>
      </c>
      <c r="Y51" s="27" t="n">
        <f aca="false">IF(Y9=0,0,Y29/Y9)</f>
        <v>22277.6131333568</v>
      </c>
      <c r="Z51" s="27" t="n">
        <f aca="false">IF(Z9=0,0,Z29/Z9)</f>
        <v>22489.3664478128</v>
      </c>
    </row>
    <row r="52" customFormat="false" ht="15" hidden="false" customHeight="true" outlineLevel="0" collapsed="false">
      <c r="A52" s="7" t="s">
        <v>242</v>
      </c>
      <c r="B52" s="3"/>
      <c r="C52" s="30" t="n">
        <f aca="false">IF(C43&gt;=0,1,0)</f>
        <v>0</v>
      </c>
      <c r="D52" s="30" t="n">
        <f aca="false">IF(D43&gt;=0,1,0)</f>
        <v>0</v>
      </c>
      <c r="E52" s="30" t="n">
        <f aca="false">IF(E43&gt;=0,1,0)</f>
        <v>0</v>
      </c>
      <c r="F52" s="30" t="n">
        <f aca="false">IF(F43&gt;=0,1,0)</f>
        <v>1</v>
      </c>
      <c r="G52" s="30" t="n">
        <f aca="false">IF(G43&gt;=0,1,0)</f>
        <v>1</v>
      </c>
      <c r="H52" s="30" t="n">
        <f aca="false">IF(H43&gt;=0,1,0)</f>
        <v>1</v>
      </c>
      <c r="I52" s="30" t="n">
        <f aca="false">IF(I43&gt;=0,1,0)</f>
        <v>0</v>
      </c>
      <c r="J52" s="30" t="n">
        <f aca="false">IF(J43&gt;=0,1,0)</f>
        <v>0</v>
      </c>
      <c r="K52" s="30" t="n">
        <f aca="false">IF(K43&gt;=0,1,0)</f>
        <v>1</v>
      </c>
      <c r="L52" s="30" t="n">
        <f aca="false">IF(L43&gt;=0,1,0)</f>
        <v>1</v>
      </c>
      <c r="M52" s="30" t="n">
        <f aca="false">IF(M43&gt;=0,1,0)</f>
        <v>1</v>
      </c>
      <c r="N52" s="30" t="n">
        <f aca="false">IF(N43&gt;=0,1,0)</f>
        <v>1</v>
      </c>
      <c r="O52" s="30" t="n">
        <f aca="false">IF(O43&gt;=0,1,0)</f>
        <v>1</v>
      </c>
      <c r="P52" s="30" t="n">
        <f aca="false">IF(P43&gt;=0,1,0)</f>
        <v>1</v>
      </c>
      <c r="Q52" s="30" t="n">
        <f aca="false">IF(Q43&gt;=0,1,0)</f>
        <v>1</v>
      </c>
      <c r="R52" s="30" t="n">
        <f aca="false">IF(R43&gt;=0,1,0)</f>
        <v>1</v>
      </c>
      <c r="S52" s="30" t="n">
        <f aca="false">IF(S43&gt;=0,1,0)</f>
        <v>1</v>
      </c>
      <c r="T52" s="30" t="n">
        <f aca="false">IF(T43&gt;=0,1,0)</f>
        <v>1</v>
      </c>
      <c r="U52" s="30" t="n">
        <f aca="false">IF(U43&gt;=0,1,0)</f>
        <v>1</v>
      </c>
      <c r="V52" s="30" t="n">
        <f aca="false">IF(V43&gt;=0,1,0)</f>
        <v>1</v>
      </c>
      <c r="W52" s="30" t="n">
        <f aca="false">IF(W43&gt;=0,1,0)</f>
        <v>1</v>
      </c>
      <c r="X52" s="30" t="n">
        <f aca="false">IF(X43&gt;=0,1,0)</f>
        <v>1</v>
      </c>
      <c r="Y52" s="30" t="n">
        <f aca="false">IF(Y43&gt;=0,1,0)</f>
        <v>1</v>
      </c>
      <c r="Z52" s="30" t="n">
        <f aca="false">IF(Z43&gt;=0,1,0)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4"/>
    <col collapsed="false" customWidth="true" hidden="false" outlineLevel="0" max="26" min="3" style="1" width="13"/>
  </cols>
  <sheetData>
    <row r="1" customFormat="false" ht="17.25" hidden="false" customHeight="true" outlineLevel="0" collapsed="false">
      <c r="A1" s="2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s">
        <v>205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14" t="s">
        <v>206</v>
      </c>
      <c r="B4" s="3"/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  <c r="M4" s="22" t="n">
        <v>11</v>
      </c>
      <c r="N4" s="22" t="n">
        <v>12</v>
      </c>
      <c r="O4" s="22" t="n">
        <v>13</v>
      </c>
      <c r="P4" s="22" t="n">
        <v>14</v>
      </c>
      <c r="Q4" s="22" t="n">
        <v>15</v>
      </c>
      <c r="R4" s="22" t="n">
        <v>16</v>
      </c>
      <c r="S4" s="22" t="n">
        <v>17</v>
      </c>
      <c r="T4" s="22" t="n">
        <v>18</v>
      </c>
      <c r="U4" s="22" t="n">
        <v>19</v>
      </c>
      <c r="V4" s="22" t="n">
        <v>20</v>
      </c>
      <c r="W4" s="22" t="n">
        <v>21</v>
      </c>
      <c r="X4" s="22" t="n">
        <v>22</v>
      </c>
      <c r="Y4" s="22" t="n">
        <v>23</v>
      </c>
      <c r="Z4" s="22" t="n">
        <v>24</v>
      </c>
    </row>
    <row r="5" customFormat="false" ht="15" hidden="false" customHeight="true" outlineLevel="0" collapsed="false">
      <c r="A5" s="14" t="s">
        <v>207</v>
      </c>
      <c r="B5" s="3"/>
      <c r="C5" s="23" t="str">
        <f aca="false">"Año "&amp;ROUNDUP(C4/12,0)</f>
        <v>Año 1</v>
      </c>
      <c r="D5" s="23" t="str">
        <f aca="false">"Año "&amp;ROUNDUP(D4/12,0)</f>
        <v>Año 1</v>
      </c>
      <c r="E5" s="23" t="str">
        <f aca="false">"Año "&amp;ROUNDUP(E4/12,0)</f>
        <v>Año 1</v>
      </c>
      <c r="F5" s="23" t="str">
        <f aca="false">"Año "&amp;ROUNDUP(F4/12,0)</f>
        <v>Año 1</v>
      </c>
      <c r="G5" s="23" t="str">
        <f aca="false">"Año "&amp;ROUNDUP(G4/12,0)</f>
        <v>Año 1</v>
      </c>
      <c r="H5" s="23" t="str">
        <f aca="false">"Año "&amp;ROUNDUP(H4/12,0)</f>
        <v>Año 1</v>
      </c>
      <c r="I5" s="23" t="str">
        <f aca="false">"Año "&amp;ROUNDUP(I4/12,0)</f>
        <v>Año 1</v>
      </c>
      <c r="J5" s="23" t="str">
        <f aca="false">"Año "&amp;ROUNDUP(J4/12,0)</f>
        <v>Año 1</v>
      </c>
      <c r="K5" s="23" t="str">
        <f aca="false">"Año "&amp;ROUNDUP(K4/12,0)</f>
        <v>Año 1</v>
      </c>
      <c r="L5" s="23" t="str">
        <f aca="false">"Año "&amp;ROUNDUP(L4/12,0)</f>
        <v>Año 1</v>
      </c>
      <c r="M5" s="23" t="str">
        <f aca="false">"Año "&amp;ROUNDUP(M4/12,0)</f>
        <v>Año 1</v>
      </c>
      <c r="N5" s="23" t="str">
        <f aca="false">"Año "&amp;ROUNDUP(N4/12,0)</f>
        <v>Año 1</v>
      </c>
      <c r="O5" s="23" t="str">
        <f aca="false">"Año "&amp;ROUNDUP(O4/12,0)</f>
        <v>Año 2</v>
      </c>
      <c r="P5" s="23" t="str">
        <f aca="false">"Año "&amp;ROUNDUP(P4/12,0)</f>
        <v>Año 2</v>
      </c>
      <c r="Q5" s="23" t="str">
        <f aca="false">"Año "&amp;ROUNDUP(Q4/12,0)</f>
        <v>Año 2</v>
      </c>
      <c r="R5" s="23" t="str">
        <f aca="false">"Año "&amp;ROUNDUP(R4/12,0)</f>
        <v>Año 2</v>
      </c>
      <c r="S5" s="23" t="str">
        <f aca="false">"Año "&amp;ROUNDUP(S4/12,0)</f>
        <v>Año 2</v>
      </c>
      <c r="T5" s="23" t="str">
        <f aca="false">"Año "&amp;ROUNDUP(T4/12,0)</f>
        <v>Año 2</v>
      </c>
      <c r="U5" s="23" t="str">
        <f aca="false">"Año "&amp;ROUNDUP(U4/12,0)</f>
        <v>Año 2</v>
      </c>
      <c r="V5" s="23" t="str">
        <f aca="false">"Año "&amp;ROUNDUP(V4/12,0)</f>
        <v>Año 2</v>
      </c>
      <c r="W5" s="23" t="str">
        <f aca="false">"Año "&amp;ROUNDUP(W4/12,0)</f>
        <v>Año 2</v>
      </c>
      <c r="X5" s="23" t="str">
        <f aca="false">"Año "&amp;ROUNDUP(X4/12,0)</f>
        <v>Año 2</v>
      </c>
      <c r="Y5" s="23" t="str">
        <f aca="false">"Año "&amp;ROUNDUP(Y4/12,0)</f>
        <v>Año 2</v>
      </c>
      <c r="Z5" s="23" t="str">
        <f aca="false">"Año "&amp;ROUNDUP(Z4/12,0)</f>
        <v>Año 2</v>
      </c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11" t="s">
        <v>208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5" hidden="false" customHeight="true" outlineLevel="0" collapsed="false">
      <c r="A8" s="7" t="s">
        <v>209</v>
      </c>
      <c r="B8" s="3"/>
      <c r="C8" s="25" t="n">
        <f aca="false">Escenarios!$C$5*(1+Escenarios!$C$6)^(C$4-1)</f>
        <v>5</v>
      </c>
      <c r="D8" s="25" t="n">
        <f aca="false">Escenarios!$C$5*(1+Escenarios!$C$6)^(D$4-1)</f>
        <v>5.4</v>
      </c>
      <c r="E8" s="25" t="n">
        <f aca="false">Escenarios!$C$5*(1+Escenarios!$C$6)^(E$4-1)</f>
        <v>5.832</v>
      </c>
      <c r="F8" s="25" t="n">
        <f aca="false">Escenarios!$C$5*(1+Escenarios!$C$6)^(F$4-1)</f>
        <v>6.29856</v>
      </c>
      <c r="G8" s="25" t="n">
        <f aca="false">Escenarios!$C$5*(1+Escenarios!$C$6)^(G$4-1)</f>
        <v>6.8024448</v>
      </c>
      <c r="H8" s="25" t="n">
        <f aca="false">Escenarios!$C$5*(1+Escenarios!$C$6)^(H$4-1)</f>
        <v>7.346640384</v>
      </c>
      <c r="I8" s="25" t="n">
        <f aca="false">Escenarios!$C$5*(1+Escenarios!$C$6)^(I$4-1)</f>
        <v>7.93437161472</v>
      </c>
      <c r="J8" s="25" t="n">
        <f aca="false">Escenarios!$C$5*(1+Escenarios!$C$6)^(J$4-1)</f>
        <v>8.56912134389761</v>
      </c>
      <c r="K8" s="25" t="n">
        <f aca="false">Escenarios!$C$5*(1+Escenarios!$C$6)^(K$4-1)</f>
        <v>9.25465105140941</v>
      </c>
      <c r="L8" s="25" t="n">
        <f aca="false">Escenarios!$C$5*(1+Escenarios!$C$6)^(L$4-1)</f>
        <v>9.99502313552217</v>
      </c>
      <c r="M8" s="25" t="n">
        <f aca="false">Escenarios!$C$5*(1+Escenarios!$C$6)^(M$4-1)</f>
        <v>10.7946249863639</v>
      </c>
      <c r="N8" s="25" t="n">
        <f aca="false">Escenarios!$C$5*(1+Escenarios!$C$6)^(N$4-1)</f>
        <v>11.6581949852731</v>
      </c>
      <c r="O8" s="25" t="n">
        <f aca="false">Escenarios!$C$5*(1+Escenarios!$C$6)^(O$4-1)</f>
        <v>12.5908505840949</v>
      </c>
      <c r="P8" s="25" t="n">
        <f aca="false">Escenarios!$C$5*(1+Escenarios!$C$6)^(P$4-1)</f>
        <v>13.5981186308225</v>
      </c>
      <c r="Q8" s="25" t="n">
        <f aca="false">Escenarios!$C$5*(1+Escenarios!$C$6)^(Q$4-1)</f>
        <v>14.6859681212883</v>
      </c>
      <c r="R8" s="25" t="n">
        <f aca="false">Escenarios!$C$5*(1+Escenarios!$C$6)^(R$4-1)</f>
        <v>15.8608455709914</v>
      </c>
      <c r="S8" s="25" t="n">
        <f aca="false">Escenarios!$C$5*(1+Escenarios!$C$6)^(S$4-1)</f>
        <v>17.1297132166707</v>
      </c>
      <c r="T8" s="25" t="n">
        <f aca="false">Escenarios!$C$5*(1+Escenarios!$C$6)^(T$4-1)</f>
        <v>18.5000902740043</v>
      </c>
      <c r="U8" s="25" t="n">
        <f aca="false">Escenarios!$C$5*(1+Escenarios!$C$6)^(U$4-1)</f>
        <v>19.9800974959247</v>
      </c>
      <c r="V8" s="25" t="n">
        <f aca="false">Escenarios!$C$5*(1+Escenarios!$C$6)^(V$4-1)</f>
        <v>21.5785052955986</v>
      </c>
      <c r="W8" s="25" t="n">
        <f aca="false">Escenarios!$C$5*(1+Escenarios!$C$6)^(W$4-1)</f>
        <v>23.3047857192465</v>
      </c>
      <c r="X8" s="25" t="n">
        <f aca="false">Escenarios!$C$5*(1+Escenarios!$C$6)^(X$4-1)</f>
        <v>25.1691685767863</v>
      </c>
      <c r="Y8" s="25" t="n">
        <f aca="false">Escenarios!$C$5*(1+Escenarios!$C$6)^(Y$4-1)</f>
        <v>27.1827020629292</v>
      </c>
      <c r="Z8" s="25" t="n">
        <f aca="false">Escenarios!$C$5*(1+Escenarios!$C$6)^(Z$4-1)</f>
        <v>29.3573182279635</v>
      </c>
    </row>
    <row r="9" customFormat="false" ht="15" hidden="false" customHeight="true" outlineLevel="0" collapsed="false">
      <c r="A9" s="14" t="s">
        <v>210</v>
      </c>
      <c r="B9" s="3"/>
      <c r="C9" s="26" t="n">
        <f aca="false">C8</f>
        <v>5</v>
      </c>
      <c r="D9" s="26" t="n">
        <f aca="false">C9*(1-Escenarios!$C$7)+D8</f>
        <v>10.1</v>
      </c>
      <c r="E9" s="26" t="n">
        <f aca="false">D9*(1-Escenarios!$C$7)+E8</f>
        <v>15.326</v>
      </c>
      <c r="F9" s="26" t="n">
        <f aca="false">E9*(1-Escenarios!$C$7)+F8</f>
        <v>20.705</v>
      </c>
      <c r="G9" s="26" t="n">
        <f aca="false">F9*(1-Escenarios!$C$7)+G8</f>
        <v>26.2651448</v>
      </c>
      <c r="H9" s="26" t="n">
        <f aca="false">G9*(1-Escenarios!$C$7)+H8</f>
        <v>32.035876496</v>
      </c>
      <c r="I9" s="26" t="n">
        <f aca="false">H9*(1-Escenarios!$C$7)+I8</f>
        <v>38.04809552096</v>
      </c>
      <c r="J9" s="26" t="n">
        <f aca="false">I9*(1-Escenarios!$C$7)+J8</f>
        <v>44.3343311336</v>
      </c>
      <c r="K9" s="26" t="n">
        <f aca="false">J9*(1-Escenarios!$C$7)+K8</f>
        <v>50.9289223169934</v>
      </c>
      <c r="L9" s="26" t="n">
        <f aca="false">K9*(1-Escenarios!$C$7)+L8</f>
        <v>57.868210113496</v>
      </c>
      <c r="M9" s="26" t="n">
        <f aca="false">L9*(1-Escenarios!$C$7)+M8</f>
        <v>65.1907424930502</v>
      </c>
      <c r="N9" s="26" t="n">
        <f aca="false">M9*(1-Escenarios!$C$7)+N8</f>
        <v>72.9374929287402</v>
      </c>
      <c r="O9" s="26" t="n">
        <f aca="false">N9*(1-Escenarios!$C$7)+O8</f>
        <v>81.1520939371107</v>
      </c>
      <c r="P9" s="26" t="n">
        <f aca="false">O9*(1-Escenarios!$C$7)+P8</f>
        <v>89.8810869317066</v>
      </c>
      <c r="Q9" s="26" t="n">
        <f aca="false">P9*(1-Escenarios!$C$7)+Q8</f>
        <v>99.1741898370924</v>
      </c>
      <c r="R9" s="26" t="n">
        <f aca="false">Q9*(1-Escenarios!$C$7)+R8</f>
        <v>109.084584017858</v>
      </c>
      <c r="S9" s="26" t="n">
        <f aca="false">R9*(1-Escenarios!$C$7)+S8</f>
        <v>119.669222193457</v>
      </c>
      <c r="T9" s="26" t="n">
        <f aca="false">S9*(1-Escenarios!$C$7)+T8</f>
        <v>130.989159135854</v>
      </c>
      <c r="U9" s="26" t="n">
        <f aca="false">T9*(1-Escenarios!$C$7)+U8</f>
        <v>143.109907083628</v>
      </c>
      <c r="V9" s="26" t="n">
        <f aca="false">U9*(1-Escenarios!$C$7)+V8</f>
        <v>156.101817954209</v>
      </c>
      <c r="W9" s="26" t="n">
        <f aca="false">V9*(1-Escenarios!$C$7)+W8</f>
        <v>170.040494596203</v>
      </c>
      <c r="X9" s="26" t="n">
        <f aca="false">W9*(1-Escenarios!$C$7)+X8</f>
        <v>185.007233497217</v>
      </c>
      <c r="Y9" s="26" t="n">
        <f aca="false">X9*(1-Escenarios!$C$7)+Y8</f>
        <v>201.089501550313</v>
      </c>
      <c r="Z9" s="26" t="n">
        <f aca="false">Y9*(1-Escenarios!$C$7)+Z8</f>
        <v>218.381449685258</v>
      </c>
    </row>
    <row r="10" customFormat="false" ht="15" hidden="false" customHeight="true" outlineLevel="0" collapsed="false">
      <c r="A10" s="7" t="s">
        <v>211</v>
      </c>
      <c r="B10" s="3"/>
      <c r="C10" s="25" t="n">
        <f aca="false">C9*Escenarios!$C$8</f>
        <v>4</v>
      </c>
      <c r="D10" s="25" t="n">
        <f aca="false">D9*Escenarios!$C$8</f>
        <v>8.08</v>
      </c>
      <c r="E10" s="25" t="n">
        <f aca="false">E9*Escenarios!$C$8</f>
        <v>12.2608</v>
      </c>
      <c r="F10" s="25" t="n">
        <f aca="false">F9*Escenarios!$C$8</f>
        <v>16.564</v>
      </c>
      <c r="G10" s="25" t="n">
        <f aca="false">G9*Escenarios!$C$8</f>
        <v>21.01211584</v>
      </c>
      <c r="H10" s="25" t="n">
        <f aca="false">H9*Escenarios!$C$8</f>
        <v>25.6287011968</v>
      </c>
      <c r="I10" s="25" t="n">
        <f aca="false">I9*Escenarios!$C$8</f>
        <v>30.438476416768</v>
      </c>
      <c r="J10" s="25" t="n">
        <f aca="false">J9*Escenarios!$C$8</f>
        <v>35.46746490688</v>
      </c>
      <c r="K10" s="25" t="n">
        <f aca="false">K9*Escenarios!$C$8</f>
        <v>40.7431378535947</v>
      </c>
      <c r="L10" s="25" t="n">
        <f aca="false">L9*Escenarios!$C$8</f>
        <v>46.2945680907968</v>
      </c>
      <c r="M10" s="25" t="n">
        <f aca="false">M9*Escenarios!$C$8</f>
        <v>52.1525939944401</v>
      </c>
      <c r="N10" s="25" t="n">
        <f aca="false">N9*Escenarios!$C$8</f>
        <v>58.3499943429922</v>
      </c>
      <c r="O10" s="25" t="n">
        <f aca="false">O9*Escenarios!$C$8</f>
        <v>64.9216751496886</v>
      </c>
      <c r="P10" s="25" t="n">
        <f aca="false">P9*Escenarios!$C$8</f>
        <v>71.9048695453652</v>
      </c>
      <c r="Q10" s="25" t="n">
        <f aca="false">Q9*Escenarios!$C$8</f>
        <v>79.339351869674</v>
      </c>
      <c r="R10" s="25" t="n">
        <f aca="false">R9*Escenarios!$C$8</f>
        <v>87.2676672142866</v>
      </c>
      <c r="S10" s="25" t="n">
        <f aca="false">S9*Escenarios!$C$8</f>
        <v>95.7353777547659</v>
      </c>
      <c r="T10" s="25" t="n">
        <f aca="false">T9*Escenarios!$C$8</f>
        <v>104.791327308683</v>
      </c>
      <c r="U10" s="25" t="n">
        <f aca="false">U9*Escenarios!$C$8</f>
        <v>114.487925666902</v>
      </c>
      <c r="V10" s="25" t="n">
        <f aca="false">V9*Escenarios!$C$8</f>
        <v>124.881454363367</v>
      </c>
      <c r="W10" s="25" t="n">
        <f aca="false">W9*Escenarios!$C$8</f>
        <v>136.032395676962</v>
      </c>
      <c r="X10" s="25" t="n">
        <f aca="false">X9*Escenarios!$C$8</f>
        <v>148.005786797773</v>
      </c>
      <c r="Y10" s="25" t="n">
        <f aca="false">Y9*Escenarios!$C$8</f>
        <v>160.87160124025</v>
      </c>
      <c r="Z10" s="25" t="n">
        <f aca="false">Z9*Escenarios!$C$8</f>
        <v>174.705159748206</v>
      </c>
    </row>
    <row r="11" customFormat="false" ht="15" hidden="false" customHeight="true" outlineLevel="0" collapsed="false">
      <c r="A11" s="7" t="s">
        <v>212</v>
      </c>
      <c r="B11" s="3"/>
      <c r="C11" s="25" t="n">
        <f aca="false">C9*Escenarios!$C$9</f>
        <v>0.8</v>
      </c>
      <c r="D11" s="25" t="n">
        <f aca="false">D9*Escenarios!$C$9</f>
        <v>1.616</v>
      </c>
      <c r="E11" s="25" t="n">
        <f aca="false">E9*Escenarios!$C$9</f>
        <v>2.45216</v>
      </c>
      <c r="F11" s="25" t="n">
        <f aca="false">F9*Escenarios!$C$9</f>
        <v>3.3128</v>
      </c>
      <c r="G11" s="25" t="n">
        <f aca="false">G9*Escenarios!$C$9</f>
        <v>4.202423168</v>
      </c>
      <c r="H11" s="25" t="n">
        <f aca="false">H9*Escenarios!$C$9</f>
        <v>5.12574023936</v>
      </c>
      <c r="I11" s="25" t="n">
        <f aca="false">I9*Escenarios!$C$9</f>
        <v>6.0876952833536</v>
      </c>
      <c r="J11" s="25" t="n">
        <f aca="false">J9*Escenarios!$C$9</f>
        <v>7.093492981376</v>
      </c>
      <c r="K11" s="25" t="n">
        <f aca="false">K9*Escenarios!$C$9</f>
        <v>8.14862757071895</v>
      </c>
      <c r="L11" s="25" t="n">
        <f aca="false">L9*Escenarios!$C$9</f>
        <v>9.25891361815936</v>
      </c>
      <c r="M11" s="25" t="n">
        <f aca="false">M9*Escenarios!$C$9</f>
        <v>10.430518798888</v>
      </c>
      <c r="N11" s="25" t="n">
        <f aca="false">N9*Escenarios!$C$9</f>
        <v>11.6699988685984</v>
      </c>
      <c r="O11" s="25" t="n">
        <f aca="false">O9*Escenarios!$C$9</f>
        <v>12.9843350299377</v>
      </c>
      <c r="P11" s="25" t="n">
        <f aca="false">P9*Escenarios!$C$9</f>
        <v>14.380973909073</v>
      </c>
      <c r="Q11" s="25" t="n">
        <f aca="false">Q9*Escenarios!$C$9</f>
        <v>15.8678703739348</v>
      </c>
      <c r="R11" s="25" t="n">
        <f aca="false">R9*Escenarios!$C$9</f>
        <v>17.4535334428573</v>
      </c>
      <c r="S11" s="25" t="n">
        <f aca="false">S9*Escenarios!$C$9</f>
        <v>19.1470755509532</v>
      </c>
      <c r="T11" s="25" t="n">
        <f aca="false">T9*Escenarios!$C$9</f>
        <v>20.9582654617367</v>
      </c>
      <c r="U11" s="25" t="n">
        <f aca="false">U9*Escenarios!$C$9</f>
        <v>22.8975851333804</v>
      </c>
      <c r="V11" s="25" t="n">
        <f aca="false">V9*Escenarios!$C$9</f>
        <v>24.9762908726734</v>
      </c>
      <c r="W11" s="25" t="n">
        <f aca="false">W9*Escenarios!$C$9</f>
        <v>27.2064791353924</v>
      </c>
      <c r="X11" s="25" t="n">
        <f aca="false">X9*Escenarios!$C$9</f>
        <v>29.6011573595547</v>
      </c>
      <c r="Y11" s="25" t="n">
        <f aca="false">Y9*Escenarios!$C$9</f>
        <v>32.1743202480501</v>
      </c>
      <c r="Z11" s="25" t="n">
        <f aca="false">Z9*Escenarios!$C$9</f>
        <v>34.9410319496412</v>
      </c>
    </row>
    <row r="12" customFormat="false" ht="15" hidden="false" customHeight="true" outlineLevel="0" collapsed="false">
      <c r="A12" s="7" t="s">
        <v>213</v>
      </c>
      <c r="B12" s="3"/>
      <c r="C12" s="25" t="n">
        <f aca="false">MIN(C11,Supuestos!$B$13)</f>
        <v>0.8</v>
      </c>
      <c r="D12" s="25" t="n">
        <f aca="false">MIN(D11,Supuestos!$B$13)</f>
        <v>1.616</v>
      </c>
      <c r="E12" s="25" t="n">
        <f aca="false">MIN(E11,Supuestos!$B$13)</f>
        <v>2.45216</v>
      </c>
      <c r="F12" s="25" t="n">
        <f aca="false">MIN(F11,Supuestos!$B$13)</f>
        <v>3.3128</v>
      </c>
      <c r="G12" s="25" t="n">
        <f aca="false">MIN(G11,Supuestos!$B$13)</f>
        <v>4.202423168</v>
      </c>
      <c r="H12" s="25" t="n">
        <f aca="false">MIN(H11,Supuestos!$B$13)</f>
        <v>5.12574023936</v>
      </c>
      <c r="I12" s="25" t="n">
        <f aca="false">MIN(I11,Supuestos!$B$13)</f>
        <v>6.0876952833536</v>
      </c>
      <c r="J12" s="25" t="n">
        <f aca="false">MIN(J11,Supuestos!$B$13)</f>
        <v>7.093492981376</v>
      </c>
      <c r="K12" s="25" t="n">
        <f aca="false">MIN(K11,Supuestos!$B$13)</f>
        <v>8.14862757071895</v>
      </c>
      <c r="L12" s="25" t="n">
        <f aca="false">MIN(L11,Supuestos!$B$13)</f>
        <v>9.25891361815936</v>
      </c>
      <c r="M12" s="25" t="n">
        <f aca="false">MIN(M11,Supuestos!$B$13)</f>
        <v>10.430518798888</v>
      </c>
      <c r="N12" s="25" t="n">
        <f aca="false">MIN(N11,Supuestos!$B$13)</f>
        <v>11.6699988685984</v>
      </c>
      <c r="O12" s="25" t="n">
        <f aca="false">MIN(O11,Supuestos!$B$13)</f>
        <v>12.9843350299377</v>
      </c>
      <c r="P12" s="25" t="n">
        <f aca="false">MIN(P11,Supuestos!$B$13)</f>
        <v>14.380973909073</v>
      </c>
      <c r="Q12" s="25" t="n">
        <f aca="false">MIN(Q11,Supuestos!$B$13)</f>
        <v>15.8678703739348</v>
      </c>
      <c r="R12" s="25" t="n">
        <f aca="false">MIN(R11,Supuestos!$B$13)</f>
        <v>17.4535334428573</v>
      </c>
      <c r="S12" s="25" t="n">
        <f aca="false">MIN(S11,Supuestos!$B$13)</f>
        <v>19.1470755509532</v>
      </c>
      <c r="T12" s="25" t="n">
        <f aca="false">MIN(T11,Supuestos!$B$13)</f>
        <v>20.9582654617367</v>
      </c>
      <c r="U12" s="25" t="n">
        <f aca="false">MIN(U11,Supuestos!$B$13)</f>
        <v>22.8975851333804</v>
      </c>
      <c r="V12" s="25" t="n">
        <f aca="false">MIN(V11,Supuestos!$B$13)</f>
        <v>24.9762908726734</v>
      </c>
      <c r="W12" s="25" t="n">
        <f aca="false">MIN(W11,Supuestos!$B$13)</f>
        <v>27.2064791353924</v>
      </c>
      <c r="X12" s="25" t="n">
        <f aca="false">MIN(X11,Supuestos!$B$13)</f>
        <v>29.6011573595547</v>
      </c>
      <c r="Y12" s="25" t="n">
        <f aca="false">MIN(Y11,Supuestos!$B$13)</f>
        <v>32.1743202480501</v>
      </c>
      <c r="Z12" s="25" t="n">
        <f aca="false">MIN(Z11,Supuestos!$B$13)</f>
        <v>34.9410319496412</v>
      </c>
    </row>
    <row r="13" customFormat="false" ht="15" hidden="false" customHeight="true" outlineLevel="0" collapsed="false">
      <c r="A13" s="7" t="s">
        <v>214</v>
      </c>
      <c r="B13" s="3"/>
      <c r="C13" s="25" t="n">
        <f aca="false">C11-C12</f>
        <v>0</v>
      </c>
      <c r="D13" s="25" t="n">
        <f aca="false">D11-D12</f>
        <v>0</v>
      </c>
      <c r="E13" s="25" t="n">
        <f aca="false">E11-E12</f>
        <v>0</v>
      </c>
      <c r="F13" s="25" t="n">
        <f aca="false">F11-F12</f>
        <v>0</v>
      </c>
      <c r="G13" s="25" t="n">
        <f aca="false">G11-G12</f>
        <v>0</v>
      </c>
      <c r="H13" s="25" t="n">
        <f aca="false">H11-H12</f>
        <v>0</v>
      </c>
      <c r="I13" s="25" t="n">
        <f aca="false">I11-I12</f>
        <v>0</v>
      </c>
      <c r="J13" s="25" t="n">
        <f aca="false">J11-J12</f>
        <v>0</v>
      </c>
      <c r="K13" s="25" t="n">
        <f aca="false">K11-K12</f>
        <v>0</v>
      </c>
      <c r="L13" s="25" t="n">
        <f aca="false">L11-L12</f>
        <v>0</v>
      </c>
      <c r="M13" s="25" t="n">
        <f aca="false">M11-M12</f>
        <v>0</v>
      </c>
      <c r="N13" s="25" t="n">
        <f aca="false">N11-N12</f>
        <v>0</v>
      </c>
      <c r="O13" s="25" t="n">
        <f aca="false">O11-O12</f>
        <v>0</v>
      </c>
      <c r="P13" s="25" t="n">
        <f aca="false">P11-P12</f>
        <v>0</v>
      </c>
      <c r="Q13" s="25" t="n">
        <f aca="false">Q11-Q12</f>
        <v>0</v>
      </c>
      <c r="R13" s="25" t="n">
        <f aca="false">R11-R12</f>
        <v>0</v>
      </c>
      <c r="S13" s="25" t="n">
        <f aca="false">S11-S12</f>
        <v>0</v>
      </c>
      <c r="T13" s="25" t="n">
        <f aca="false">T11-T12</f>
        <v>0</v>
      </c>
      <c r="U13" s="25" t="n">
        <f aca="false">U11-U12</f>
        <v>0</v>
      </c>
      <c r="V13" s="25" t="n">
        <f aca="false">V11-V12</f>
        <v>0</v>
      </c>
      <c r="W13" s="25" t="n">
        <f aca="false">W11-W12</f>
        <v>0</v>
      </c>
      <c r="X13" s="25" t="n">
        <f aca="false">X11-X12</f>
        <v>0</v>
      </c>
      <c r="Y13" s="25" t="n">
        <f aca="false">Y11-Y12</f>
        <v>0</v>
      </c>
      <c r="Z13" s="25" t="n">
        <f aca="false">Z11-Z12</f>
        <v>0</v>
      </c>
    </row>
    <row r="14" customFormat="false" ht="15" hidden="false" customHeight="true" outlineLevel="0" collapsed="false">
      <c r="A14" s="7" t="s">
        <v>215</v>
      </c>
      <c r="B14" s="3"/>
      <c r="C14" s="25" t="n">
        <f aca="false">C9*Escenarios!$C$10</f>
        <v>0.2</v>
      </c>
      <c r="D14" s="25" t="n">
        <f aca="false">D9*Escenarios!$C$10</f>
        <v>0.404</v>
      </c>
      <c r="E14" s="25" t="n">
        <f aca="false">E9*Escenarios!$C$10</f>
        <v>0.613039999999999</v>
      </c>
      <c r="F14" s="25" t="n">
        <f aca="false">F9*Escenarios!$C$10</f>
        <v>0.828199999999999</v>
      </c>
      <c r="G14" s="25" t="n">
        <f aca="false">G9*Escenarios!$C$10</f>
        <v>1.050605792</v>
      </c>
      <c r="H14" s="25" t="n">
        <f aca="false">H9*Escenarios!$C$10</f>
        <v>1.28143505984</v>
      </c>
      <c r="I14" s="25" t="n">
        <f aca="false">I9*Escenarios!$C$10</f>
        <v>1.5219238208384</v>
      </c>
      <c r="J14" s="25" t="n">
        <f aca="false">J9*Escenarios!$C$10</f>
        <v>1.773373245344</v>
      </c>
      <c r="K14" s="25" t="n">
        <f aca="false">K9*Escenarios!$C$10</f>
        <v>2.03715689267973</v>
      </c>
      <c r="L14" s="25" t="n">
        <f aca="false">L9*Escenarios!$C$10</f>
        <v>2.31472840453984</v>
      </c>
      <c r="M14" s="25" t="n">
        <f aca="false">M9*Escenarios!$C$10</f>
        <v>2.607629699722</v>
      </c>
      <c r="N14" s="25" t="n">
        <f aca="false">N9*Escenarios!$C$10</f>
        <v>2.9174997171496</v>
      </c>
      <c r="O14" s="25" t="n">
        <f aca="false">O9*Escenarios!$C$10</f>
        <v>3.24608375748442</v>
      </c>
      <c r="P14" s="25" t="n">
        <f aca="false">P9*Escenarios!$C$10</f>
        <v>3.59524347726826</v>
      </c>
      <c r="Q14" s="25" t="n">
        <f aca="false">Q9*Escenarios!$C$10</f>
        <v>3.96696759348369</v>
      </c>
      <c r="R14" s="25" t="n">
        <f aca="false">R9*Escenarios!$C$10</f>
        <v>4.36338336071433</v>
      </c>
      <c r="S14" s="25" t="n">
        <f aca="false">S9*Escenarios!$C$10</f>
        <v>4.78676888773829</v>
      </c>
      <c r="T14" s="25" t="n">
        <f aca="false">T9*Escenarios!$C$10</f>
        <v>5.23956636543417</v>
      </c>
      <c r="U14" s="25" t="n">
        <f aca="false">U9*Escenarios!$C$10</f>
        <v>5.7243962833451</v>
      </c>
      <c r="V14" s="25" t="n">
        <f aca="false">V9*Escenarios!$C$10</f>
        <v>6.24407271816834</v>
      </c>
      <c r="W14" s="25" t="n">
        <f aca="false">W9*Escenarios!$C$10</f>
        <v>6.8016197838481</v>
      </c>
      <c r="X14" s="25" t="n">
        <f aca="false">X9*Escenarios!$C$10</f>
        <v>7.40028933988866</v>
      </c>
      <c r="Y14" s="25" t="n">
        <f aca="false">Y9*Escenarios!$C$10</f>
        <v>8.04358006201251</v>
      </c>
      <c r="Z14" s="25" t="n">
        <f aca="false">Z9*Escenarios!$C$10</f>
        <v>8.7352579874103</v>
      </c>
    </row>
    <row r="15" customFormat="false" ht="15" hidden="false" customHeight="true" outlineLevel="0" collapsed="false">
      <c r="A15" s="7" t="s">
        <v>216</v>
      </c>
      <c r="B15" s="3"/>
      <c r="C15" s="25" t="n">
        <f aca="false">C14*Supuestos!$B$15</f>
        <v>1.2</v>
      </c>
      <c r="D15" s="25" t="n">
        <f aca="false">D14*Supuestos!$B$15</f>
        <v>2.424</v>
      </c>
      <c r="E15" s="25" t="n">
        <f aca="false">E14*Supuestos!$B$15</f>
        <v>3.67824</v>
      </c>
      <c r="F15" s="25" t="n">
        <f aca="false">F14*Supuestos!$B$15</f>
        <v>4.96919999999999</v>
      </c>
      <c r="G15" s="25" t="n">
        <f aca="false">G14*Supuestos!$B$15</f>
        <v>6.30363475199999</v>
      </c>
      <c r="H15" s="25" t="n">
        <f aca="false">H14*Supuestos!$B$15</f>
        <v>7.68861035903999</v>
      </c>
      <c r="I15" s="25" t="n">
        <f aca="false">I14*Supuestos!$B$15</f>
        <v>9.13154292503039</v>
      </c>
      <c r="J15" s="25" t="n">
        <f aca="false">J14*Supuestos!$B$15</f>
        <v>10.640239472064</v>
      </c>
      <c r="K15" s="25" t="n">
        <f aca="false">K14*Supuestos!$B$15</f>
        <v>12.2229413560784</v>
      </c>
      <c r="L15" s="25" t="n">
        <f aca="false">L14*Supuestos!$B$15</f>
        <v>13.888370427239</v>
      </c>
      <c r="M15" s="25" t="n">
        <f aca="false">M14*Supuestos!$B$15</f>
        <v>15.645778198332</v>
      </c>
      <c r="N15" s="25" t="n">
        <f aca="false">N14*Supuestos!$B$15</f>
        <v>17.5049983028976</v>
      </c>
      <c r="O15" s="25" t="n">
        <f aca="false">O14*Supuestos!$B$15</f>
        <v>19.4765025449065</v>
      </c>
      <c r="P15" s="25" t="n">
        <f aca="false">P14*Supuestos!$B$15</f>
        <v>21.5714608636095</v>
      </c>
      <c r="Q15" s="25" t="n">
        <f aca="false">Q14*Supuestos!$B$15</f>
        <v>23.8018055609022</v>
      </c>
      <c r="R15" s="25" t="n">
        <f aca="false">R14*Supuestos!$B$15</f>
        <v>26.180300164286</v>
      </c>
      <c r="S15" s="25" t="n">
        <f aca="false">S14*Supuestos!$B$15</f>
        <v>28.7206133264298</v>
      </c>
      <c r="T15" s="25" t="n">
        <f aca="false">T14*Supuestos!$B$15</f>
        <v>31.437398192605</v>
      </c>
      <c r="U15" s="25" t="n">
        <f aca="false">U14*Supuestos!$B$15</f>
        <v>34.3463777000706</v>
      </c>
      <c r="V15" s="25" t="n">
        <f aca="false">V14*Supuestos!$B$15</f>
        <v>37.46443630901</v>
      </c>
      <c r="W15" s="25" t="n">
        <f aca="false">W14*Supuestos!$B$15</f>
        <v>40.8097187030886</v>
      </c>
      <c r="X15" s="25" t="n">
        <f aca="false">X14*Supuestos!$B$15</f>
        <v>44.401736039332</v>
      </c>
      <c r="Y15" s="25" t="n">
        <f aca="false">Y14*Supuestos!$B$15</f>
        <v>48.261480372075</v>
      </c>
      <c r="Z15" s="25" t="n">
        <f aca="false">Z14*Supuestos!$B$15</f>
        <v>52.4115479244618</v>
      </c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1" t="s">
        <v>217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5" hidden="false" customHeight="true" outlineLevel="0" collapsed="false">
      <c r="A18" s="7" t="s">
        <v>218</v>
      </c>
      <c r="B18" s="3"/>
      <c r="C18" s="27" t="n">
        <f aca="false">C10*Supuestos!$B$20*Escenarios!$C$13</f>
        <v>66185.3781512605</v>
      </c>
      <c r="D18" s="27" t="n">
        <f aca="false">D10*Supuestos!$B$20*Escenarios!$C$13</f>
        <v>133694.463865546</v>
      </c>
      <c r="E18" s="27" t="n">
        <f aca="false">E10*Supuestos!$B$20*Escenarios!$C$13</f>
        <v>202871.421109244</v>
      </c>
      <c r="F18" s="27" t="n">
        <f aca="false">F10*Supuestos!$B$20*Escenarios!$C$13</f>
        <v>274073.65092437</v>
      </c>
      <c r="G18" s="27" t="n">
        <f aca="false">G10*Supuestos!$B$20*Escenarios!$C$13</f>
        <v>347673.708157123</v>
      </c>
      <c r="H18" s="27" t="n">
        <f aca="false">H10*Supuestos!$B$20*Escenarios!$C$13</f>
        <v>424061.320058968</v>
      </c>
      <c r="I18" s="27" t="n">
        <f aca="false">I10*Supuestos!$B$20*Escenarios!$C$13</f>
        <v>503645.517998004</v>
      </c>
      <c r="J18" s="27" t="n">
        <f aca="false">J10*Supuestos!$B$20*Escenarios!$C$13</f>
        <v>586856.894232104</v>
      </c>
      <c r="K18" s="27" t="n">
        <f aca="false">K10*Supuestos!$B$20*Escenarios!$C$13</f>
        <v>674149.996477276</v>
      </c>
      <c r="L18" s="27" t="n">
        <f aca="false">L10*Supuestos!$B$20*Escenarios!$C$13</f>
        <v>766005.873859666</v>
      </c>
      <c r="M18" s="27" t="n">
        <f aca="false">M10*Supuestos!$B$20*Escenarios!$C$13</f>
        <v>862934.788772794</v>
      </c>
      <c r="N18" s="27" t="n">
        <f aca="false">N10*Supuestos!$B$20*Escenarios!$C$13</f>
        <v>965479.110178712</v>
      </c>
      <c r="O18" s="27" t="n">
        <f aca="false">O10*Supuestos!$B$20*Escenarios!$C$13</f>
        <v>1074216.40499886</v>
      </c>
      <c r="P18" s="27" t="n">
        <f aca="false">P10*Supuestos!$B$20*Escenarios!$C$13</f>
        <v>1189762.74544426</v>
      </c>
      <c r="Q18" s="27" t="n">
        <f aca="false">Q10*Supuestos!$B$20*Escenarios!$C$13</f>
        <v>1312776.25144257</v>
      </c>
      <c r="R18" s="27" t="n">
        <f aca="false">R10*Supuestos!$B$20*Escenarios!$C$13</f>
        <v>1443960.88873898</v>
      </c>
      <c r="S18" s="27" t="n">
        <f aca="false">S10*Supuestos!$B$20*Escenarios!$C$13</f>
        <v>1584070.54478824</v>
      </c>
      <c r="T18" s="27" t="n">
        <f aca="false">T10*Supuestos!$B$20*Escenarios!$C$13</f>
        <v>1733913.40622443</v>
      </c>
      <c r="U18" s="27" t="n">
        <f aca="false">U10*Supuestos!$B$20*Escenarios!$C$13</f>
        <v>1894356.66350433</v>
      </c>
      <c r="V18" s="27" t="n">
        <f aca="false">V10*Supuestos!$B$20*Escenarios!$C$13</f>
        <v>2066331.57027971</v>
      </c>
      <c r="W18" s="27" t="n">
        <f aca="false">W10*Supuestos!$B$20*Escenarios!$C$13</f>
        <v>2250838.88717541</v>
      </c>
      <c r="X18" s="27" t="n">
        <f aca="false">X10*Supuestos!$B$20*Escenarios!$C$13</f>
        <v>2448954.74194637</v>
      </c>
      <c r="Y18" s="27" t="n">
        <f aca="false">Y10*Supuestos!$B$20*Escenarios!$C$13</f>
        <v>2661836.94047119</v>
      </c>
      <c r="Z18" s="27" t="n">
        <f aca="false">Z10*Supuestos!$B$20*Escenarios!$C$13</f>
        <v>2890731.76572785</v>
      </c>
    </row>
    <row r="19" customFormat="false" ht="15" hidden="false" customHeight="true" outlineLevel="0" collapsed="false">
      <c r="A19" s="7" t="s">
        <v>219</v>
      </c>
      <c r="B19" s="3"/>
      <c r="C19" s="27" t="n">
        <f aca="false">C12*Supuestos!$B$22*Escenarios!$C$13</f>
        <v>26480.7731092437</v>
      </c>
      <c r="D19" s="27" t="n">
        <f aca="false">D12*Supuestos!$B$22*Escenarios!$C$13</f>
        <v>53491.1616806723</v>
      </c>
      <c r="E19" s="27" t="n">
        <f aca="false">E12*Supuestos!$B$22*Escenarios!$C$13</f>
        <v>81168.8657344538</v>
      </c>
      <c r="F19" s="27" t="n">
        <f aca="false">F12*Supuestos!$B$22*Escenarios!$C$13</f>
        <v>109656.881445378</v>
      </c>
      <c r="G19" s="27" t="n">
        <f aca="false">G12*Supuestos!$B$22*Escenarios!$C$13</f>
        <v>139104.268026046</v>
      </c>
      <c r="H19" s="27" t="n">
        <f aca="false">H12*Supuestos!$B$22*Escenarios!$C$13</f>
        <v>169666.955369266</v>
      </c>
      <c r="I19" s="27" t="n">
        <f aca="false">I12*Supuestos!$B$22*Escenarios!$C$13</f>
        <v>201508.596945875</v>
      </c>
      <c r="J19" s="27" t="n">
        <f aca="false">J12*Supuestos!$B$22*Escenarios!$C$13</f>
        <v>234801.472739788</v>
      </c>
      <c r="K19" s="27" t="n">
        <f aca="false">K12*Supuestos!$B$22*Escenarios!$C$13</f>
        <v>269727.44731492</v>
      </c>
      <c r="L19" s="27" t="n">
        <f aca="false">L12*Supuestos!$B$22*Escenarios!$C$13</f>
        <v>306478.988450706</v>
      </c>
      <c r="M19" s="27" t="n">
        <f aca="false">M12*Supuestos!$B$22*Escenarios!$C$13</f>
        <v>345260.252156319</v>
      </c>
      <c r="N19" s="27" t="n">
        <f aca="false">N12*Supuestos!$B$22*Escenarios!$C$13</f>
        <v>386288.240280607</v>
      </c>
      <c r="O19" s="27" t="n">
        <f aca="false">O12*Supuestos!$B$22*Escenarios!$C$13</f>
        <v>429794.037377732</v>
      </c>
      <c r="P19" s="27" t="n">
        <f aca="false">P12*Supuestos!$B$22*Escenarios!$C$13</f>
        <v>476024.133970146</v>
      </c>
      <c r="Q19" s="27" t="n">
        <f aca="false">Q12*Supuestos!$B$22*Escenarios!$C$13</f>
        <v>525241.843873821</v>
      </c>
      <c r="R19" s="27" t="n">
        <f aca="false">R12*Supuestos!$B$22*Escenarios!$C$13</f>
        <v>577728.823818627</v>
      </c>
      <c r="S19" s="27" t="n">
        <f aca="false">S12*Supuestos!$B$22*Escenarios!$C$13</f>
        <v>633786.704212923</v>
      </c>
      <c r="T19" s="27" t="n">
        <f aca="false">T12*Supuestos!$B$22*Escenarios!$C$13</f>
        <v>693738.840569435</v>
      </c>
      <c r="U19" s="27" t="n">
        <f aca="false">U12*Supuestos!$B$22*Escenarios!$C$13</f>
        <v>757932.195833299</v>
      </c>
      <c r="V19" s="27" t="n">
        <f aca="false">V12*Supuestos!$B$22*Escenarios!$C$13</f>
        <v>826739.364637173</v>
      </c>
      <c r="W19" s="27" t="n">
        <f aca="false">W12*Supuestos!$B$22*Escenarios!$C$13</f>
        <v>900560.751357125</v>
      </c>
      <c r="X19" s="27" t="n">
        <f aca="false">X12*Supuestos!$B$22*Escenarios!$C$13</f>
        <v>979826.914761734</v>
      </c>
      <c r="Y19" s="27" t="n">
        <f aca="false">Y12*Supuestos!$B$22*Escenarios!$C$13</f>
        <v>1065001.09304095</v>
      </c>
      <c r="Z19" s="27" t="n">
        <f aca="false">Z12*Supuestos!$B$22*Escenarios!$C$13</f>
        <v>1156581.92407661</v>
      </c>
    </row>
    <row r="20" customFormat="false" ht="15" hidden="false" customHeight="true" outlineLevel="0" collapsed="false">
      <c r="A20" s="7" t="s">
        <v>220</v>
      </c>
      <c r="B20" s="3"/>
      <c r="C20" s="27" t="n">
        <f aca="false">C13*Supuestos!$B$21*Escenarios!$C$13</f>
        <v>0</v>
      </c>
      <c r="D20" s="27" t="n">
        <f aca="false">D13*Supuestos!$B$21*Escenarios!$C$13</f>
        <v>0</v>
      </c>
      <c r="E20" s="27" t="n">
        <f aca="false">E13*Supuestos!$B$21*Escenarios!$C$13</f>
        <v>0</v>
      </c>
      <c r="F20" s="27" t="n">
        <f aca="false">F13*Supuestos!$B$21*Escenarios!$C$13</f>
        <v>0</v>
      </c>
      <c r="G20" s="27" t="n">
        <f aca="false">G13*Supuestos!$B$21*Escenarios!$C$13</f>
        <v>0</v>
      </c>
      <c r="H20" s="27" t="n">
        <f aca="false">H13*Supuestos!$B$21*Escenarios!$C$13</f>
        <v>0</v>
      </c>
      <c r="I20" s="27" t="n">
        <f aca="false">I13*Supuestos!$B$21*Escenarios!$C$13</f>
        <v>0</v>
      </c>
      <c r="J20" s="27" t="n">
        <f aca="false">J13*Supuestos!$B$21*Escenarios!$C$13</f>
        <v>0</v>
      </c>
      <c r="K20" s="27" t="n">
        <f aca="false">K13*Supuestos!$B$21*Escenarios!$C$13</f>
        <v>0</v>
      </c>
      <c r="L20" s="27" t="n">
        <f aca="false">L13*Supuestos!$B$21*Escenarios!$C$13</f>
        <v>0</v>
      </c>
      <c r="M20" s="27" t="n">
        <f aca="false">M13*Supuestos!$B$21*Escenarios!$C$13</f>
        <v>0</v>
      </c>
      <c r="N20" s="27" t="n">
        <f aca="false">N13*Supuestos!$B$21*Escenarios!$C$13</f>
        <v>0</v>
      </c>
      <c r="O20" s="27" t="n">
        <f aca="false">O13*Supuestos!$B$21*Escenarios!$C$13</f>
        <v>0</v>
      </c>
      <c r="P20" s="27" t="n">
        <f aca="false">P13*Supuestos!$B$21*Escenarios!$C$13</f>
        <v>0</v>
      </c>
      <c r="Q20" s="27" t="n">
        <f aca="false">Q13*Supuestos!$B$21*Escenarios!$C$13</f>
        <v>0</v>
      </c>
      <c r="R20" s="27" t="n">
        <f aca="false">R13*Supuestos!$B$21*Escenarios!$C$13</f>
        <v>0</v>
      </c>
      <c r="S20" s="27" t="n">
        <f aca="false">S13*Supuestos!$B$21*Escenarios!$C$13</f>
        <v>0</v>
      </c>
      <c r="T20" s="27" t="n">
        <f aca="false">T13*Supuestos!$B$21*Escenarios!$C$13</f>
        <v>0</v>
      </c>
      <c r="U20" s="27" t="n">
        <f aca="false">U13*Supuestos!$B$21*Escenarios!$C$13</f>
        <v>0</v>
      </c>
      <c r="V20" s="27" t="n">
        <f aca="false">V13*Supuestos!$B$21*Escenarios!$C$13</f>
        <v>0</v>
      </c>
      <c r="W20" s="27" t="n">
        <f aca="false">W13*Supuestos!$B$21*Escenarios!$C$13</f>
        <v>0</v>
      </c>
      <c r="X20" s="27" t="n">
        <f aca="false">X13*Supuestos!$B$21*Escenarios!$C$13</f>
        <v>0</v>
      </c>
      <c r="Y20" s="27" t="n">
        <f aca="false">Y13*Supuestos!$B$21*Escenarios!$C$13</f>
        <v>0</v>
      </c>
      <c r="Z20" s="27" t="n">
        <f aca="false">Z13*Supuestos!$B$21*Escenarios!$C$13</f>
        <v>0</v>
      </c>
    </row>
    <row r="21" customFormat="false" ht="15" hidden="false" customHeight="true" outlineLevel="0" collapsed="false">
      <c r="A21" s="7" t="s">
        <v>221</v>
      </c>
      <c r="B21" s="3"/>
      <c r="C21" s="27" t="n">
        <f aca="false">C15*Supuestos!$B$23*Escenarios!$C$13</f>
        <v>29788.3865546218</v>
      </c>
      <c r="D21" s="27" t="n">
        <f aca="false">D15*Supuestos!$B$23*Escenarios!$C$13</f>
        <v>60172.5408403361</v>
      </c>
      <c r="E21" s="27" t="n">
        <f aca="false">E15*Supuestos!$B$23*Escenarios!$C$13</f>
        <v>91307.3624672268</v>
      </c>
      <c r="F21" s="27" t="n">
        <f aca="false">F15*Supuestos!$B$23*Escenarios!$C$13</f>
        <v>123353.708722689</v>
      </c>
      <c r="G21" s="27" t="n">
        <f aca="false">G15*Supuestos!$B$23*Escenarios!$C$13</f>
        <v>156479.257243103</v>
      </c>
      <c r="H21" s="27" t="n">
        <f aca="false">H15*Supuestos!$B$23*Escenarios!$C$13</f>
        <v>190859.414535794</v>
      </c>
      <c r="I21" s="27" t="n">
        <f aca="false">I15*Supuestos!$B$23*Escenarios!$C$13</f>
        <v>226678.275409106</v>
      </c>
      <c r="J21" s="27" t="n">
        <f aca="false">J15*Supuestos!$B$23*Escenarios!$C$13</f>
        <v>264129.638689656</v>
      </c>
      <c r="K21" s="27" t="n">
        <f aca="false">K15*Supuestos!$B$23*Escenarios!$C$13</f>
        <v>303418.084957781</v>
      </c>
      <c r="L21" s="27" t="n">
        <f aca="false">L15*Supuestos!$B$23*Escenarios!$C$13</f>
        <v>344760.122416979</v>
      </c>
      <c r="M21" s="27" t="n">
        <f aca="false">M15*Supuestos!$B$23*Escenarios!$C$13</f>
        <v>388385.407433158</v>
      </c>
      <c r="N21" s="27" t="n">
        <f aca="false">N15*Supuestos!$B$23*Escenarios!$C$13</f>
        <v>434538.046737262</v>
      </c>
      <c r="O21" s="27" t="n">
        <f aca="false">O15*Supuestos!$B$23*Escenarios!$C$13</f>
        <v>483477.988783127</v>
      </c>
      <c r="P21" s="27" t="n">
        <f aca="false">P15*Supuestos!$B$23*Escenarios!$C$13</f>
        <v>535482.512294248</v>
      </c>
      <c r="Q21" s="27" t="n">
        <f aca="false">Q15*Supuestos!$B$23*Escenarios!$C$13</f>
        <v>590847.820621751</v>
      </c>
      <c r="R21" s="27" t="n">
        <f aca="false">R15*Supuestos!$B$23*Escenarios!$C$13</f>
        <v>649890.751174817</v>
      </c>
      <c r="S21" s="27" t="n">
        <f aca="false">S15*Supuestos!$B$23*Escenarios!$C$13</f>
        <v>712950.609877928</v>
      </c>
      <c r="T21" s="27" t="n">
        <f aca="false">T15*Supuestos!$B$23*Escenarios!$C$13</f>
        <v>780391.14136074</v>
      </c>
      <c r="U21" s="27" t="n">
        <f aca="false">U15*Supuestos!$B$23*Escenarios!$C$13</f>
        <v>852602.646400623</v>
      </c>
      <c r="V21" s="27" t="n">
        <f aca="false">V15*Supuestos!$B$23*Escenarios!$C$13</f>
        <v>930004.259019834</v>
      </c>
      <c r="W21" s="27" t="n">
        <f aca="false">W15*Supuestos!$B$23*Escenarios!$C$13</f>
        <v>1013046.39659415</v>
      </c>
      <c r="X21" s="27" t="n">
        <f aca="false">X15*Supuestos!$B$23*Escenarios!$C$13</f>
        <v>1102213.39736325</v>
      </c>
      <c r="Y21" s="27" t="n">
        <f aca="false">Y15*Supuestos!$B$23*Escenarios!$C$13</f>
        <v>1198026.36085139</v>
      </c>
      <c r="Z21" s="27" t="n">
        <f aca="false">Z15*Supuestos!$B$23*Escenarios!$C$13</f>
        <v>1301046.20791663</v>
      </c>
    </row>
    <row r="22" customFormat="false" ht="15" hidden="false" customHeight="true" outlineLevel="0" collapsed="false">
      <c r="A22" s="14" t="s">
        <v>222</v>
      </c>
      <c r="B22" s="3"/>
      <c r="C22" s="28" t="n">
        <f aca="false">SUM(C18:C21)</f>
        <v>122454.537815126</v>
      </c>
      <c r="D22" s="28" t="n">
        <f aca="false">SUM(D18:D21)</f>
        <v>247358.166386555</v>
      </c>
      <c r="E22" s="28" t="n">
        <f aca="false">SUM(E18:E21)</f>
        <v>375347.649310924</v>
      </c>
      <c r="F22" s="28" t="n">
        <f aca="false">SUM(F18:F21)</f>
        <v>507084.241092437</v>
      </c>
      <c r="G22" s="28" t="n">
        <f aca="false">SUM(G18:G21)</f>
        <v>643257.233426272</v>
      </c>
      <c r="H22" s="28" t="n">
        <f aca="false">SUM(H18:H21)</f>
        <v>784587.689964028</v>
      </c>
      <c r="I22" s="28" t="n">
        <f aca="false">SUM(I18:I21)</f>
        <v>931832.390352984</v>
      </c>
      <c r="J22" s="28" t="n">
        <f aca="false">SUM(J18:J21)</f>
        <v>1085788.00566155</v>
      </c>
      <c r="K22" s="28" t="n">
        <f aca="false">SUM(K18:K21)</f>
        <v>1247295.52874998</v>
      </c>
      <c r="L22" s="28" t="n">
        <f aca="false">SUM(L18:L21)</f>
        <v>1417244.98472735</v>
      </c>
      <c r="M22" s="28" t="n">
        <f aca="false">SUM(M18:M21)</f>
        <v>1596580.44836227</v>
      </c>
      <c r="N22" s="28" t="n">
        <f aca="false">SUM(N18:N21)</f>
        <v>1786305.39719658</v>
      </c>
      <c r="O22" s="28" t="n">
        <f aca="false">SUM(O18:O21)</f>
        <v>1987488.43115972</v>
      </c>
      <c r="P22" s="28" t="n">
        <f aca="false">SUM(P18:P21)</f>
        <v>2201269.39170866</v>
      </c>
      <c r="Q22" s="28" t="n">
        <f aca="false">SUM(Q18:Q21)</f>
        <v>2428865.91593814</v>
      </c>
      <c r="R22" s="28" t="n">
        <f aca="false">SUM(R18:R21)</f>
        <v>2671580.46373242</v>
      </c>
      <c r="S22" s="28" t="n">
        <f aca="false">SUM(S18:S21)</f>
        <v>2930807.85887909</v>
      </c>
      <c r="T22" s="28" t="n">
        <f aca="false">SUM(T18:T21)</f>
        <v>3208043.38815461</v>
      </c>
      <c r="U22" s="28" t="n">
        <f aca="false">SUM(U18:U21)</f>
        <v>3504891.50573825</v>
      </c>
      <c r="V22" s="28" t="n">
        <f aca="false">SUM(V18:V21)</f>
        <v>3823075.19393671</v>
      </c>
      <c r="W22" s="28" t="n">
        <f aca="false">SUM(W18:W21)</f>
        <v>4164446.03512669</v>
      </c>
      <c r="X22" s="28" t="n">
        <f aca="false">SUM(X18:X21)</f>
        <v>4530995.05407136</v>
      </c>
      <c r="Y22" s="28" t="n">
        <f aca="false">SUM(Y18:Y21)</f>
        <v>4924864.39436353</v>
      </c>
      <c r="Z22" s="28" t="n">
        <f aca="false">SUM(Z18:Z21)</f>
        <v>5348359.89772109</v>
      </c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11" t="s">
        <v>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5" hidden="false" customHeight="true" outlineLevel="0" collapsed="false">
      <c r="A25" s="7" t="s">
        <v>223</v>
      </c>
      <c r="B25" s="3"/>
      <c r="C25" s="27" t="n">
        <f aca="false">C10*Supuestos!$B$51+(C11+C15)*Supuestos!$B$52</f>
        <v>14953</v>
      </c>
      <c r="D25" s="27" t="n">
        <f aca="false">D10*Supuestos!$B$51+(D11+D15)*Supuestos!$B$52</f>
        <v>30205.06</v>
      </c>
      <c r="E25" s="27" t="n">
        <f aca="false">E10*Supuestos!$B$51+(E11+E15)*Supuestos!$B$52</f>
        <v>45833.9356</v>
      </c>
      <c r="F25" s="27" t="n">
        <f aca="false">F10*Supuestos!$B$51+(F11+F15)*Supuestos!$B$52</f>
        <v>61920.373</v>
      </c>
      <c r="G25" s="27" t="n">
        <f aca="false">G10*Supuestos!$B$51+(G11+G15)*Supuestos!$B$52</f>
        <v>78548.54203888</v>
      </c>
      <c r="H25" s="27" t="n">
        <f aca="false">H10*Supuestos!$B$51+(H11+H15)*Supuestos!$B$52</f>
        <v>95806.4922489376</v>
      </c>
      <c r="I25" s="27" t="n">
        <f aca="false">I10*Supuestos!$B$51+(I11+I15)*Supuestos!$B$52</f>
        <v>113786.634464983</v>
      </c>
      <c r="J25" s="27" t="n">
        <f aca="false">J10*Supuestos!$B$51+(J11+J15)*Supuestos!$B$52</f>
        <v>132586.250688144</v>
      </c>
      <c r="K25" s="27" t="n">
        <f aca="false">K10*Supuestos!$B$51+(K11+K15)*Supuestos!$B$52</f>
        <v>152308.0350812</v>
      </c>
      <c r="L25" s="27" t="n">
        <f aca="false">L10*Supuestos!$B$51+(L11+L15)*Supuestos!$B$52</f>
        <v>173060.669165421</v>
      </c>
      <c r="M25" s="27" t="n">
        <f aca="false">M10*Supuestos!$B$51+(M11+M15)*Supuestos!$B$52</f>
        <v>194959.434499716</v>
      </c>
      <c r="N25" s="27" t="n">
        <f aca="false">N10*Supuestos!$B$51+(N11+N15)*Supuestos!$B$52</f>
        <v>218126.86635269</v>
      </c>
      <c r="O25" s="27" t="n">
        <f aca="false">O10*Supuestos!$B$51+(O11+O15)*Supuestos!$B$52</f>
        <v>242693.452128323</v>
      </c>
      <c r="P25" s="27" t="n">
        <f aca="false">P10*Supuestos!$B$51+(P11+P15)*Supuestos!$B$52</f>
        <v>268798.378577961</v>
      </c>
      <c r="Q25" s="27" t="n">
        <f aca="false">Q10*Supuestos!$B$51+(Q11+Q15)*Supuestos!$B$52</f>
        <v>296590.332126809</v>
      </c>
      <c r="R25" s="27" t="n">
        <f aca="false">R10*Supuestos!$B$51+(R11+R15)*Supuestos!$B$52</f>
        <v>326228.356963807</v>
      </c>
      <c r="S25" s="27" t="n">
        <f aca="false">S10*Supuestos!$B$51+(S11+S15)*Supuestos!$B$52</f>
        <v>357882.775891754</v>
      </c>
      <c r="T25" s="27" t="n">
        <f aca="false">T10*Supuestos!$B$51+(T11+T15)*Supuestos!$B$52</f>
        <v>391736.179311686</v>
      </c>
      <c r="U25" s="27" t="n">
        <f aca="false">U10*Supuestos!$B$51+(U11+U15)*Supuestos!$B$52</f>
        <v>427984.488124297</v>
      </c>
      <c r="V25" s="27" t="n">
        <f aca="false">V10*Supuestos!$B$51+(V11+V15)*Supuestos!$B$52</f>
        <v>466838.096773856</v>
      </c>
      <c r="W25" s="27" t="n">
        <f aca="false">W10*Supuestos!$B$51+(W11+W15)*Supuestos!$B$52</f>
        <v>508523.103139404</v>
      </c>
      <c r="X25" s="27" t="n">
        <f aca="false">X10*Supuestos!$B$51+(X11+X15)*Supuestos!$B$52</f>
        <v>553282.632496776</v>
      </c>
      <c r="Y25" s="27" t="n">
        <f aca="false">Y10*Supuestos!$B$51+(Y11+Y15)*Supuestos!$B$52</f>
        <v>601378.263336366</v>
      </c>
      <c r="Z25" s="27" t="n">
        <f aca="false">Z10*Supuestos!$B$51+(Z11+Z15)*Supuestos!$B$52</f>
        <v>653091.563428731</v>
      </c>
    </row>
    <row r="26" customFormat="false" ht="15" hidden="false" customHeight="true" outlineLevel="0" collapsed="false">
      <c r="A26" s="7" t="s">
        <v>224</v>
      </c>
      <c r="B26" s="3"/>
      <c r="C26" s="27" t="n">
        <f aca="false">C10*Supuestos!$B$58+(C11+C15)*Supuestos!$B$59</f>
        <v>3268</v>
      </c>
      <c r="D26" s="27" t="n">
        <f aca="false">D10*Supuestos!$B$58+(D11+D15)*Supuestos!$B$59</f>
        <v>6601.36</v>
      </c>
      <c r="E26" s="27" t="n">
        <f aca="false">E10*Supuestos!$B$58+(E11+E15)*Supuestos!$B$59</f>
        <v>10017.0736</v>
      </c>
      <c r="F26" s="27" t="n">
        <f aca="false">F10*Supuestos!$B$58+(F11+F15)*Supuestos!$B$59</f>
        <v>13532.788</v>
      </c>
      <c r="G26" s="27" t="n">
        <f aca="false">G10*Supuestos!$B$58+(G11+G15)*Supuestos!$B$59</f>
        <v>17166.89864128</v>
      </c>
      <c r="H26" s="27" t="n">
        <f aca="false">H10*Supuestos!$B$58+(H11+H15)*Supuestos!$B$59</f>
        <v>20938.6488777856</v>
      </c>
      <c r="I26" s="27" t="n">
        <f aca="false">I10*Supuestos!$B$58+(I11+I15)*Supuestos!$B$59</f>
        <v>24868.2352324994</v>
      </c>
      <c r="J26" s="27" t="n">
        <f aca="false">J10*Supuestos!$B$58+(J11+J15)*Supuestos!$B$59</f>
        <v>28976.918828921</v>
      </c>
      <c r="K26" s="27" t="n">
        <f aca="false">K10*Supuestos!$B$58+(K11+K15)*Supuestos!$B$59</f>
        <v>33287.1436263869</v>
      </c>
      <c r="L26" s="27" t="n">
        <f aca="false">L10*Supuestos!$B$58+(L11+L15)*Supuestos!$B$59</f>
        <v>37822.662130181</v>
      </c>
      <c r="M26" s="27" t="n">
        <f aca="false">M10*Supuestos!$B$58+(M11+M15)*Supuestos!$B$59</f>
        <v>42608.6692934576</v>
      </c>
      <c r="N26" s="27" t="n">
        <f aca="false">N10*Supuestos!$B$58+(N11+N15)*Supuestos!$B$59</f>
        <v>47671.9453782246</v>
      </c>
      <c r="O26" s="27" t="n">
        <f aca="false">O10*Supuestos!$B$58+(O11+O15)*Supuestos!$B$59</f>
        <v>53041.0085972955</v>
      </c>
      <c r="P26" s="27" t="n">
        <f aca="false">P10*Supuestos!$B$58+(P11+P15)*Supuestos!$B$59</f>
        <v>58746.2784185634</v>
      </c>
      <c r="Q26" s="27" t="n">
        <f aca="false">Q10*Supuestos!$B$58+(Q11+Q15)*Supuestos!$B$59</f>
        <v>64820.2504775236</v>
      </c>
      <c r="R26" s="27" t="n">
        <f aca="false">R10*Supuestos!$B$58+(R11+R15)*Supuestos!$B$59</f>
        <v>71297.6841140721</v>
      </c>
      <c r="S26" s="27" t="n">
        <f aca="false">S10*Supuestos!$B$58+(S11+S15)*Supuestos!$B$59</f>
        <v>78215.8036256438</v>
      </c>
      <c r="T26" s="27" t="n">
        <f aca="false">T10*Supuestos!$B$58+(T11+T15)*Supuestos!$B$59</f>
        <v>85614.5144111943</v>
      </c>
      <c r="U26" s="27" t="n">
        <f aca="false">U10*Supuestos!$B$58+(U11+U15)*Supuestos!$B$59</f>
        <v>93536.6352698591</v>
      </c>
      <c r="V26" s="27" t="n">
        <f aca="false">V10*Supuestos!$B$58+(V11+V15)*Supuestos!$B$59</f>
        <v>102028.148214871</v>
      </c>
      <c r="W26" s="27" t="n">
        <f aca="false">W10*Supuestos!$B$58+(W11+W15)*Supuestos!$B$59</f>
        <v>111138.467268078</v>
      </c>
      <c r="X26" s="27" t="n">
        <f aca="false">X10*Supuestos!$B$58+(X11+X15)*Supuestos!$B$59</f>
        <v>120920.727813781</v>
      </c>
      <c r="Y26" s="27" t="n">
        <f aca="false">Y10*Supuestos!$B$58+(Y11+Y15)*Supuestos!$B$59</f>
        <v>131432.098213284</v>
      </c>
      <c r="Z26" s="27" t="n">
        <f aca="false">Z10*Supuestos!$B$58+(Z11+Z15)*Supuestos!$B$59</f>
        <v>142734.115514284</v>
      </c>
    </row>
    <row r="27" customFormat="false" ht="15" hidden="false" customHeight="true" outlineLevel="0" collapsed="false">
      <c r="A27" s="7" t="s">
        <v>225</v>
      </c>
      <c r="B27" s="3"/>
      <c r="C27" s="27" t="n">
        <f aca="false">C22*(1+Supuestos!$B$7)*Supuestos!$B$60</f>
        <v>5100.2315</v>
      </c>
      <c r="D27" s="27" t="n">
        <f aca="false">D22*(1+Supuestos!$B$7)*Supuestos!$B$60</f>
        <v>10302.46763</v>
      </c>
      <c r="E27" s="27" t="n">
        <f aca="false">E22*(1+Supuestos!$B$7)*Supuestos!$B$60</f>
        <v>15633.2295938</v>
      </c>
      <c r="F27" s="27" t="n">
        <f aca="false">F22*(1+Supuestos!$B$7)*Supuestos!$B$60</f>
        <v>21120.0586415</v>
      </c>
      <c r="G27" s="27" t="n">
        <f aca="false">G22*(1+Supuestos!$B$7)*Supuestos!$B$60</f>
        <v>26791.6637722042</v>
      </c>
      <c r="H27" s="27" t="n">
        <f aca="false">H22*(1+Supuestos!$B$7)*Supuestos!$B$60</f>
        <v>32678.0772870018</v>
      </c>
      <c r="I27" s="27" t="n">
        <f aca="false">I22*(1+Supuestos!$B$7)*Supuestos!$B$60</f>
        <v>38810.8190582018</v>
      </c>
      <c r="J27" s="27" t="n">
        <f aca="false">J22*(1+Supuestos!$B$7)*Supuestos!$B$60</f>
        <v>45223.0704358035</v>
      </c>
      <c r="K27" s="27" t="n">
        <f aca="false">K22*(1+Supuestos!$B$7)*Supuestos!$B$60</f>
        <v>51949.8587724366</v>
      </c>
      <c r="L27" s="27" t="n">
        <f aca="false">L22*(1+Supuestos!$B$7)*Supuestos!$B$60</f>
        <v>59028.2536138941</v>
      </c>
      <c r="M27" s="27" t="n">
        <f aca="false">M22*(1+Supuestos!$B$7)*Supuestos!$B$60</f>
        <v>66497.5756742886</v>
      </c>
      <c r="N27" s="27" t="n">
        <f aca="false">N22*(1+Supuestos!$B$7)*Supuestos!$B$60</f>
        <v>74399.6197932376</v>
      </c>
      <c r="O27" s="27" t="n">
        <f aca="false">O22*(1+Supuestos!$B$7)*Supuestos!$B$60</f>
        <v>82778.8931578022</v>
      </c>
      <c r="P27" s="27" t="n">
        <f aca="false">P22*(1+Supuestos!$B$7)*Supuestos!$B$60</f>
        <v>91682.8701646656</v>
      </c>
      <c r="Q27" s="27" t="n">
        <f aca="false">Q22*(1+Supuestos!$B$7)*Supuestos!$B$60</f>
        <v>101162.265398824</v>
      </c>
      <c r="R27" s="27" t="n">
        <f aca="false">R22*(1+Supuestos!$B$7)*Supuestos!$B$60</f>
        <v>111271.326314455</v>
      </c>
      <c r="S27" s="27" t="n">
        <f aca="false">S22*(1+Supuestos!$B$7)*Supuestos!$B$60</f>
        <v>122068.147322314</v>
      </c>
      <c r="T27" s="27" t="n">
        <f aca="false">T22*(1+Supuestos!$B$7)*Supuestos!$B$60</f>
        <v>133615.007116639</v>
      </c>
      <c r="U27" s="27" t="n">
        <f aca="false">U22*(1+Supuestos!$B$7)*Supuestos!$B$60</f>
        <v>145978.731213998</v>
      </c>
      <c r="V27" s="27" t="n">
        <f aca="false">V22*(1+Supuestos!$B$7)*Supuestos!$B$60</f>
        <v>159231.081827464</v>
      </c>
      <c r="W27" s="27" t="n">
        <f aca="false">W22*(1+Supuestos!$B$7)*Supuestos!$B$60</f>
        <v>173449.177363027</v>
      </c>
      <c r="X27" s="27" t="n">
        <f aca="false">X22*(1+Supuestos!$B$7)*Supuestos!$B$60</f>
        <v>188715.944002072</v>
      </c>
      <c r="Y27" s="27" t="n">
        <f aca="false">Y22*(1+Supuestos!$B$7)*Supuestos!$B$60</f>
        <v>205120.602025241</v>
      </c>
      <c r="Z27" s="27" t="n">
        <f aca="false">Z22*(1+Supuestos!$B$7)*Supuestos!$B$60</f>
        <v>222759.189740083</v>
      </c>
    </row>
    <row r="28" customFormat="false" ht="15" hidden="false" customHeight="true" outlineLevel="0" collapsed="false">
      <c r="A28" s="14" t="s">
        <v>226</v>
      </c>
      <c r="B28" s="3"/>
      <c r="C28" s="28" t="n">
        <f aca="false">SUM(C25:C27)</f>
        <v>23321.2315</v>
      </c>
      <c r="D28" s="28" t="n">
        <f aca="false">SUM(D25:D27)</f>
        <v>47108.88763</v>
      </c>
      <c r="E28" s="28" t="n">
        <f aca="false">SUM(E25:E27)</f>
        <v>71484.2387938</v>
      </c>
      <c r="F28" s="28" t="n">
        <f aca="false">SUM(F25:F27)</f>
        <v>96573.2196415</v>
      </c>
      <c r="G28" s="28" t="n">
        <f aca="false">SUM(G25:G27)</f>
        <v>122507.104452364</v>
      </c>
      <c r="H28" s="28" t="n">
        <f aca="false">SUM(H25:H27)</f>
        <v>149423.218413725</v>
      </c>
      <c r="I28" s="28" t="n">
        <f aca="false">SUM(I25:I27)</f>
        <v>177465.688755684</v>
      </c>
      <c r="J28" s="28" t="n">
        <f aca="false">SUM(J25:J27)</f>
        <v>206786.239952869</v>
      </c>
      <c r="K28" s="28" t="n">
        <f aca="false">SUM(K25:K27)</f>
        <v>237545.037480024</v>
      </c>
      <c r="L28" s="28" t="n">
        <f aca="false">SUM(L25:L27)</f>
        <v>269911.584909496</v>
      </c>
      <c r="M28" s="28" t="n">
        <f aca="false">SUM(M25:M27)</f>
        <v>304065.679467462</v>
      </c>
      <c r="N28" s="28" t="n">
        <f aca="false">SUM(N25:N27)</f>
        <v>340198.431524153</v>
      </c>
      <c r="O28" s="28" t="n">
        <f aca="false">SUM(O25:O27)</f>
        <v>378513.353883421</v>
      </c>
      <c r="P28" s="28" t="n">
        <f aca="false">SUM(P25:P27)</f>
        <v>419227.52716119</v>
      </c>
      <c r="Q28" s="28" t="n">
        <f aca="false">SUM(Q25:Q27)</f>
        <v>462572.848003156</v>
      </c>
      <c r="R28" s="28" t="n">
        <f aca="false">SUM(R25:R27)</f>
        <v>508797.367392334</v>
      </c>
      <c r="S28" s="28" t="n">
        <f aca="false">SUM(S25:S27)</f>
        <v>558166.726839711</v>
      </c>
      <c r="T28" s="28" t="n">
        <f aca="false">SUM(T25:T27)</f>
        <v>610965.700839519</v>
      </c>
      <c r="U28" s="28" t="n">
        <f aca="false">SUM(U25:U27)</f>
        <v>667499.854608154</v>
      </c>
      <c r="V28" s="28" t="n">
        <f aca="false">SUM(V25:V27)</f>
        <v>728097.326816191</v>
      </c>
      <c r="W28" s="28" t="n">
        <f aca="false">SUM(W25:W27)</f>
        <v>793110.747770508</v>
      </c>
      <c r="X28" s="28" t="n">
        <f aca="false">SUM(X25:X27)</f>
        <v>862919.304312629</v>
      </c>
      <c r="Y28" s="28" t="n">
        <f aca="false">SUM(Y25:Y27)</f>
        <v>937930.963574891</v>
      </c>
      <c r="Z28" s="28" t="n">
        <f aca="false">SUM(Z25:Z27)</f>
        <v>1018584.8686831</v>
      </c>
    </row>
    <row r="29" customFormat="false" ht="15" hidden="false" customHeight="true" outlineLevel="0" collapsed="false">
      <c r="A29" s="14" t="s">
        <v>10</v>
      </c>
      <c r="B29" s="3"/>
      <c r="C29" s="28" t="n">
        <f aca="false">C22-C28</f>
        <v>99133.306315126</v>
      </c>
      <c r="D29" s="28" t="n">
        <f aca="false">D22-D28</f>
        <v>200249.278756555</v>
      </c>
      <c r="E29" s="28" t="n">
        <f aca="false">E22-E28</f>
        <v>303863.410517124</v>
      </c>
      <c r="F29" s="28" t="n">
        <f aca="false">F22-F28</f>
        <v>410511.021450937</v>
      </c>
      <c r="G29" s="28" t="n">
        <f aca="false">G22-G28</f>
        <v>520750.128973908</v>
      </c>
      <c r="H29" s="28" t="n">
        <f aca="false">H22-H28</f>
        <v>635164.471550303</v>
      </c>
      <c r="I29" s="28" t="n">
        <f aca="false">I22-I28</f>
        <v>754366.7015973</v>
      </c>
      <c r="J29" s="28" t="n">
        <f aca="false">J22-J28</f>
        <v>879001.76570868</v>
      </c>
      <c r="K29" s="28" t="n">
        <f aca="false">K22-K28</f>
        <v>1009750.49126995</v>
      </c>
      <c r="L29" s="28" t="n">
        <f aca="false">L22-L28</f>
        <v>1147333.39981785</v>
      </c>
      <c r="M29" s="28" t="n">
        <f aca="false">M22-M28</f>
        <v>1292514.76889481</v>
      </c>
      <c r="N29" s="28" t="n">
        <f aca="false">N22-N28</f>
        <v>1446106.96567243</v>
      </c>
      <c r="O29" s="28" t="n">
        <f aca="false">O22-O28</f>
        <v>1608975.0772763</v>
      </c>
      <c r="P29" s="28" t="n">
        <f aca="false">P22-P28</f>
        <v>1782041.86454747</v>
      </c>
      <c r="Q29" s="28" t="n">
        <f aca="false">Q22-Q28</f>
        <v>1966293.06793499</v>
      </c>
      <c r="R29" s="28" t="n">
        <f aca="false">R22-R28</f>
        <v>2162783.09634009</v>
      </c>
      <c r="S29" s="28" t="n">
        <f aca="false">S22-S28</f>
        <v>2372641.13203938</v>
      </c>
      <c r="T29" s="28" t="n">
        <f aca="false">T22-T28</f>
        <v>2597077.68731509</v>
      </c>
      <c r="U29" s="28" t="n">
        <f aca="false">U22-U28</f>
        <v>2837391.6511301</v>
      </c>
      <c r="V29" s="28" t="n">
        <f aca="false">V22-V28</f>
        <v>3094977.86712052</v>
      </c>
      <c r="W29" s="28" t="n">
        <f aca="false">W22-W28</f>
        <v>3371335.28735618</v>
      </c>
      <c r="X29" s="28" t="n">
        <f aca="false">X22-X28</f>
        <v>3668075.74975873</v>
      </c>
      <c r="Y29" s="28" t="n">
        <f aca="false">Y22-Y28</f>
        <v>3986933.43078864</v>
      </c>
      <c r="Z29" s="28" t="n">
        <f aca="false">Z22-Z28</f>
        <v>4329775.02903799</v>
      </c>
    </row>
    <row r="30" customFormat="false" ht="15" hidden="false" customHeight="true" outlineLevel="0" collapsed="false">
      <c r="A30" s="7" t="s">
        <v>227</v>
      </c>
      <c r="B30" s="3"/>
      <c r="C30" s="29" t="n">
        <f aca="false">IF(C22=0,0,C29/C22)</f>
        <v>0.809551920932413</v>
      </c>
      <c r="D30" s="29" t="n">
        <f aca="false">IF(D22=0,0,D29/D22)</f>
        <v>0.809551920932413</v>
      </c>
      <c r="E30" s="29" t="n">
        <f aca="false">IF(E22=0,0,E29/E22)</f>
        <v>0.809551920932413</v>
      </c>
      <c r="F30" s="29" t="n">
        <f aca="false">IF(F22=0,0,F29/F22)</f>
        <v>0.809551920932413</v>
      </c>
      <c r="G30" s="29" t="n">
        <f aca="false">IF(G22=0,0,G29/G22)</f>
        <v>0.809551920932413</v>
      </c>
      <c r="H30" s="29" t="n">
        <f aca="false">IF(H22=0,0,H29/H22)</f>
        <v>0.809551920932413</v>
      </c>
      <c r="I30" s="29" t="n">
        <f aca="false">IF(I22=0,0,I29/I22)</f>
        <v>0.809551920932413</v>
      </c>
      <c r="J30" s="29" t="n">
        <f aca="false">IF(J22=0,0,J29/J22)</f>
        <v>0.809551920932413</v>
      </c>
      <c r="K30" s="29" t="n">
        <f aca="false">IF(K22=0,0,K29/K22)</f>
        <v>0.809551920932413</v>
      </c>
      <c r="L30" s="29" t="n">
        <f aca="false">IF(L22=0,0,L29/L22)</f>
        <v>0.809551920932413</v>
      </c>
      <c r="M30" s="29" t="n">
        <f aca="false">IF(M22=0,0,M29/M22)</f>
        <v>0.809551920932413</v>
      </c>
      <c r="N30" s="29" t="n">
        <f aca="false">IF(N22=0,0,N29/N22)</f>
        <v>0.809551920932413</v>
      </c>
      <c r="O30" s="29" t="n">
        <f aca="false">IF(O22=0,0,O29/O22)</f>
        <v>0.809551920932413</v>
      </c>
      <c r="P30" s="29" t="n">
        <f aca="false">IF(P22=0,0,P29/P22)</f>
        <v>0.809551920932413</v>
      </c>
      <c r="Q30" s="29" t="n">
        <f aca="false">IF(Q22=0,0,Q29/Q22)</f>
        <v>0.809551920932413</v>
      </c>
      <c r="R30" s="29" t="n">
        <f aca="false">IF(R22=0,0,R29/R22)</f>
        <v>0.809551920932413</v>
      </c>
      <c r="S30" s="29" t="n">
        <f aca="false">IF(S22=0,0,S29/S22)</f>
        <v>0.809551920932413</v>
      </c>
      <c r="T30" s="29" t="n">
        <f aca="false">IF(T22=0,0,T29/T22)</f>
        <v>0.809551920932413</v>
      </c>
      <c r="U30" s="29" t="n">
        <f aca="false">IF(U22=0,0,U29/U22)</f>
        <v>0.809551920932413</v>
      </c>
      <c r="V30" s="29" t="n">
        <f aca="false">IF(V22=0,0,V29/V22)</f>
        <v>0.809551920932413</v>
      </c>
      <c r="W30" s="29" t="n">
        <f aca="false">IF(W22=0,0,W29/W22)</f>
        <v>0.809551920932413</v>
      </c>
      <c r="X30" s="29" t="n">
        <f aca="false">IF(X22=0,0,X29/X22)</f>
        <v>0.809551920932413</v>
      </c>
      <c r="Y30" s="29" t="n">
        <f aca="false">IF(Y22=0,0,Y29/Y22)</f>
        <v>0.809551920932413</v>
      </c>
      <c r="Z30" s="29" t="n">
        <f aca="false">IF(Z22=0,0,Z29/Z22)</f>
        <v>0.809551920932413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11" t="s">
        <v>11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5" hidden="false" customHeight="true" outlineLevel="0" collapsed="false">
      <c r="A33" s="7" t="s">
        <v>228</v>
      </c>
      <c r="B33" s="3"/>
      <c r="C33" s="29" t="n">
        <f aca="false">MIN(1,C9/Supuestos!$B$63)</f>
        <v>0.005</v>
      </c>
      <c r="D33" s="29" t="n">
        <f aca="false">MIN(1,D9/Supuestos!$B$63)</f>
        <v>0.0101</v>
      </c>
      <c r="E33" s="29" t="n">
        <f aca="false">MIN(1,E9/Supuestos!$B$63)</f>
        <v>0.015326</v>
      </c>
      <c r="F33" s="29" t="n">
        <f aca="false">MIN(1,F9/Supuestos!$B$63)</f>
        <v>0.020705</v>
      </c>
      <c r="G33" s="29" t="n">
        <f aca="false">MIN(1,G9/Supuestos!$B$63)</f>
        <v>0.0262651448</v>
      </c>
      <c r="H33" s="29" t="n">
        <f aca="false">MIN(1,H9/Supuestos!$B$63)</f>
        <v>0.032035876496</v>
      </c>
      <c r="I33" s="29" t="n">
        <f aca="false">MIN(1,I9/Supuestos!$B$63)</f>
        <v>0.03804809552096</v>
      </c>
      <c r="J33" s="29" t="n">
        <f aca="false">MIN(1,J9/Supuestos!$B$63)</f>
        <v>0.0443343311336</v>
      </c>
      <c r="K33" s="29" t="n">
        <f aca="false">MIN(1,K9/Supuestos!$B$63)</f>
        <v>0.0509289223169934</v>
      </c>
      <c r="L33" s="29" t="n">
        <f aca="false">MIN(1,L9/Supuestos!$B$63)</f>
        <v>0.057868210113496</v>
      </c>
      <c r="M33" s="29" t="n">
        <f aca="false">MIN(1,M9/Supuestos!$B$63)</f>
        <v>0.0651907424930502</v>
      </c>
      <c r="N33" s="29" t="n">
        <f aca="false">MIN(1,N9/Supuestos!$B$63)</f>
        <v>0.0729374929287402</v>
      </c>
      <c r="O33" s="29" t="n">
        <f aca="false">MIN(1,O9/Supuestos!$B$63)</f>
        <v>0.0811520939371107</v>
      </c>
      <c r="P33" s="29" t="n">
        <f aca="false">MIN(1,P9/Supuestos!$B$63)</f>
        <v>0.0898810869317065</v>
      </c>
      <c r="Q33" s="29" t="n">
        <f aca="false">MIN(1,Q9/Supuestos!$B$63)</f>
        <v>0.0991741898370925</v>
      </c>
      <c r="R33" s="29" t="n">
        <f aca="false">MIN(1,R9/Supuestos!$B$63)</f>
        <v>0.109084584017858</v>
      </c>
      <c r="S33" s="29" t="n">
        <f aca="false">MIN(1,S9/Supuestos!$B$63)</f>
        <v>0.119669222193457</v>
      </c>
      <c r="T33" s="29" t="n">
        <f aca="false">MIN(1,T9/Supuestos!$B$63)</f>
        <v>0.130989159135854</v>
      </c>
      <c r="U33" s="29" t="n">
        <f aca="false">MIN(1,U9/Supuestos!$B$63)</f>
        <v>0.143109907083628</v>
      </c>
      <c r="V33" s="29" t="n">
        <f aca="false">MIN(1,V9/Supuestos!$B$63)</f>
        <v>0.156101817954209</v>
      </c>
      <c r="W33" s="29" t="n">
        <f aca="false">MIN(1,W9/Supuestos!$B$63)</f>
        <v>0.170040494596203</v>
      </c>
      <c r="X33" s="29" t="n">
        <f aca="false">MIN(1,X9/Supuestos!$B$63)</f>
        <v>0.185007233497217</v>
      </c>
      <c r="Y33" s="29" t="n">
        <f aca="false">MIN(1,Y9/Supuestos!$B$63)</f>
        <v>0.201089501550313</v>
      </c>
      <c r="Z33" s="29" t="n">
        <f aca="false">MIN(1,Z9/Supuestos!$B$63)</f>
        <v>0.218381449685258</v>
      </c>
    </row>
    <row r="34" customFormat="false" ht="15" hidden="false" customHeight="true" outlineLevel="0" collapsed="false">
      <c r="A34" s="7" t="s">
        <v>229</v>
      </c>
      <c r="B34" s="3"/>
      <c r="C34" s="27" t="n">
        <f aca="false">Supuestos!$B$72+(Supuestos!$B$73-Supuestos!$B$72)*C33</f>
        <v>187485</v>
      </c>
      <c r="D34" s="27" t="n">
        <f aca="false">Supuestos!$B$72+(Supuestos!$B$73-Supuestos!$B$72)*D33</f>
        <v>189917.7</v>
      </c>
      <c r="E34" s="27" t="n">
        <f aca="false">Supuestos!$B$72+(Supuestos!$B$73-Supuestos!$B$72)*E33</f>
        <v>192410.502</v>
      </c>
      <c r="F34" s="27" t="n">
        <f aca="false">Supuestos!$B$72+(Supuestos!$B$73-Supuestos!$B$72)*F33</f>
        <v>194976.285</v>
      </c>
      <c r="G34" s="27" t="n">
        <f aca="false">Supuestos!$B$72+(Supuestos!$B$73-Supuestos!$B$72)*G33</f>
        <v>197628.4740696</v>
      </c>
      <c r="H34" s="27" t="n">
        <f aca="false">Supuestos!$B$72+(Supuestos!$B$73-Supuestos!$B$72)*H33</f>
        <v>200381.113088592</v>
      </c>
      <c r="I34" s="27" t="n">
        <f aca="false">Supuestos!$B$72+(Supuestos!$B$73-Supuestos!$B$72)*I33</f>
        <v>203248.941563498</v>
      </c>
      <c r="J34" s="27" t="n">
        <f aca="false">Supuestos!$B$72+(Supuestos!$B$73-Supuestos!$B$72)*J33</f>
        <v>206247.475950727</v>
      </c>
      <c r="K34" s="27" t="n">
        <f aca="false">Supuestos!$B$72+(Supuestos!$B$73-Supuestos!$B$72)*K33</f>
        <v>209393.095945206</v>
      </c>
      <c r="L34" s="27" t="n">
        <f aca="false">Supuestos!$B$72+(Supuestos!$B$73-Supuestos!$B$72)*L33</f>
        <v>212703.136224138</v>
      </c>
      <c r="M34" s="27" t="n">
        <f aca="false">Supuestos!$B$72+(Supuestos!$B$73-Supuestos!$B$72)*M33</f>
        <v>216195.984169185</v>
      </c>
      <c r="N34" s="27" t="n">
        <f aca="false">Supuestos!$B$72+(Supuestos!$B$73-Supuestos!$B$72)*N33</f>
        <v>219891.184127009</v>
      </c>
      <c r="O34" s="27" t="n">
        <f aca="false">Supuestos!$B$72+(Supuestos!$B$73-Supuestos!$B$72)*O33</f>
        <v>223809.548808002</v>
      </c>
      <c r="P34" s="27" t="n">
        <f aca="false">Supuestos!$B$72+(Supuestos!$B$73-Supuestos!$B$72)*P33</f>
        <v>227973.278466424</v>
      </c>
      <c r="Q34" s="27" t="n">
        <f aca="false">Supuestos!$B$72+(Supuestos!$B$73-Supuestos!$B$72)*Q33</f>
        <v>232406.088552293</v>
      </c>
      <c r="R34" s="27" t="n">
        <f aca="false">Supuestos!$B$72+(Supuestos!$B$73-Supuestos!$B$72)*R33</f>
        <v>237133.346576518</v>
      </c>
      <c r="S34" s="27" t="n">
        <f aca="false">Supuestos!$B$72+(Supuestos!$B$73-Supuestos!$B$72)*S33</f>
        <v>242182.218986279</v>
      </c>
      <c r="T34" s="27" t="n">
        <f aca="false">Supuestos!$B$72+(Supuestos!$B$73-Supuestos!$B$72)*T33</f>
        <v>247581.828907803</v>
      </c>
      <c r="U34" s="27" t="n">
        <f aca="false">Supuestos!$B$72+(Supuestos!$B$73-Supuestos!$B$72)*U33</f>
        <v>253363.42567889</v>
      </c>
      <c r="V34" s="27" t="n">
        <f aca="false">Supuestos!$B$72+(Supuestos!$B$73-Supuestos!$B$72)*V33</f>
        <v>259560.567164158</v>
      </c>
      <c r="W34" s="27" t="n">
        <f aca="false">Supuestos!$B$72+(Supuestos!$B$73-Supuestos!$B$72)*W33</f>
        <v>266209.315922389</v>
      </c>
      <c r="X34" s="27" t="n">
        <f aca="false">Supuestos!$B$72+(Supuestos!$B$73-Supuestos!$B$72)*X33</f>
        <v>273348.450378172</v>
      </c>
      <c r="Y34" s="27" t="n">
        <f aca="false">Supuestos!$B$72+(Supuestos!$B$73-Supuestos!$B$72)*Y33</f>
        <v>281019.692239499</v>
      </c>
      <c r="Z34" s="27" t="n">
        <f aca="false">Supuestos!$B$72+(Supuestos!$B$73-Supuestos!$B$72)*Z33</f>
        <v>289267.951499868</v>
      </c>
    </row>
    <row r="35" customFormat="false" ht="15" hidden="false" customHeight="true" outlineLevel="0" collapsed="false">
      <c r="A35" s="7" t="s">
        <v>230</v>
      </c>
      <c r="B35" s="3"/>
      <c r="C35" s="8" t="n">
        <f aca="false">Supuestos!$B$81</f>
        <v>62343.75</v>
      </c>
      <c r="D35" s="8" t="n">
        <f aca="false">Supuestos!$B$81</f>
        <v>62343.75</v>
      </c>
      <c r="E35" s="8" t="n">
        <f aca="false">Supuestos!$B$81</f>
        <v>62343.75</v>
      </c>
      <c r="F35" s="8" t="n">
        <f aca="false">Supuestos!$B$81</f>
        <v>62343.75</v>
      </c>
      <c r="G35" s="8" t="n">
        <f aca="false">Supuestos!$B$81</f>
        <v>62343.75</v>
      </c>
      <c r="H35" s="8" t="n">
        <f aca="false">Supuestos!$B$81</f>
        <v>62343.75</v>
      </c>
      <c r="I35" s="8" t="n">
        <f aca="false">Supuestos!$B$81</f>
        <v>62343.75</v>
      </c>
      <c r="J35" s="8" t="n">
        <f aca="false">Supuestos!$B$81</f>
        <v>62343.75</v>
      </c>
      <c r="K35" s="8" t="n">
        <f aca="false">Supuestos!$B$81</f>
        <v>62343.75</v>
      </c>
      <c r="L35" s="8" t="n">
        <f aca="false">Supuestos!$B$81</f>
        <v>62343.75</v>
      </c>
      <c r="M35" s="8" t="n">
        <f aca="false">Supuestos!$B$81</f>
        <v>62343.75</v>
      </c>
      <c r="N35" s="8" t="n">
        <f aca="false">Supuestos!$B$81</f>
        <v>62343.75</v>
      </c>
      <c r="O35" s="8" t="n">
        <f aca="false">Supuestos!$B$81</f>
        <v>62343.75</v>
      </c>
      <c r="P35" s="8" t="n">
        <f aca="false">Supuestos!$B$81</f>
        <v>62343.75</v>
      </c>
      <c r="Q35" s="8" t="n">
        <f aca="false">Supuestos!$B$81</f>
        <v>62343.75</v>
      </c>
      <c r="R35" s="8" t="n">
        <f aca="false">Supuestos!$B$81</f>
        <v>62343.75</v>
      </c>
      <c r="S35" s="8" t="n">
        <f aca="false">Supuestos!$B$81</f>
        <v>62343.75</v>
      </c>
      <c r="T35" s="8" t="n">
        <f aca="false">Supuestos!$B$81</f>
        <v>62343.75</v>
      </c>
      <c r="U35" s="8" t="n">
        <f aca="false">Supuestos!$B$81</f>
        <v>62343.75</v>
      </c>
      <c r="V35" s="8" t="n">
        <f aca="false">Supuestos!$B$81</f>
        <v>62343.75</v>
      </c>
      <c r="W35" s="8" t="n">
        <f aca="false">Supuestos!$B$81</f>
        <v>62343.75</v>
      </c>
      <c r="X35" s="8" t="n">
        <f aca="false">Supuestos!$B$81</f>
        <v>62343.75</v>
      </c>
      <c r="Y35" s="8" t="n">
        <f aca="false">Supuestos!$B$81</f>
        <v>62343.75</v>
      </c>
      <c r="Z35" s="8" t="n">
        <f aca="false">Supuestos!$B$81</f>
        <v>62343.75</v>
      </c>
    </row>
    <row r="36" customFormat="false" ht="15" hidden="false" customHeight="true" outlineLevel="0" collapsed="false">
      <c r="A36" s="7" t="s">
        <v>231</v>
      </c>
      <c r="B36" s="3"/>
      <c r="C36" s="27" t="n">
        <f aca="false">Supuestos!$B$74+(Supuestos!$B$75-Supuestos!$B$74)*C33</f>
        <v>120650</v>
      </c>
      <c r="D36" s="27" t="n">
        <f aca="false">Supuestos!$B$74+(Supuestos!$B$75-Supuestos!$B$74)*D33</f>
        <v>121313</v>
      </c>
      <c r="E36" s="27" t="n">
        <f aca="false">Supuestos!$B$74+(Supuestos!$B$75-Supuestos!$B$74)*E33</f>
        <v>121992.38</v>
      </c>
      <c r="F36" s="27" t="n">
        <f aca="false">Supuestos!$B$74+(Supuestos!$B$75-Supuestos!$B$74)*F33</f>
        <v>122691.65</v>
      </c>
      <c r="G36" s="27" t="n">
        <f aca="false">Supuestos!$B$74+(Supuestos!$B$75-Supuestos!$B$74)*G33</f>
        <v>123414.468824</v>
      </c>
      <c r="H36" s="27" t="n">
        <f aca="false">Supuestos!$B$74+(Supuestos!$B$75-Supuestos!$B$74)*H33</f>
        <v>124164.66394448</v>
      </c>
      <c r="I36" s="27" t="n">
        <f aca="false">Supuestos!$B$74+(Supuestos!$B$75-Supuestos!$B$74)*I33</f>
        <v>124946.252417725</v>
      </c>
      <c r="J36" s="27" t="n">
        <f aca="false">Supuestos!$B$74+(Supuestos!$B$75-Supuestos!$B$74)*J33</f>
        <v>125763.463047368</v>
      </c>
      <c r="K36" s="27" t="n">
        <f aca="false">Supuestos!$B$74+(Supuestos!$B$75-Supuestos!$B$74)*K33</f>
        <v>126620.759901209</v>
      </c>
      <c r="L36" s="27" t="n">
        <f aca="false">Supuestos!$B$74+(Supuestos!$B$75-Supuestos!$B$74)*L33</f>
        <v>127522.867314754</v>
      </c>
      <c r="M36" s="27" t="n">
        <f aca="false">Supuestos!$B$74+(Supuestos!$B$75-Supuestos!$B$74)*M33</f>
        <v>128474.796524097</v>
      </c>
      <c r="N36" s="27" t="n">
        <f aca="false">Supuestos!$B$74+(Supuestos!$B$75-Supuestos!$B$74)*N33</f>
        <v>129481.874080736</v>
      </c>
      <c r="O36" s="27" t="n">
        <f aca="false">Supuestos!$B$74+(Supuestos!$B$75-Supuestos!$B$74)*O33</f>
        <v>130549.772211824</v>
      </c>
      <c r="P36" s="27" t="n">
        <f aca="false">Supuestos!$B$74+(Supuestos!$B$75-Supuestos!$B$74)*P33</f>
        <v>131684.541301122</v>
      </c>
      <c r="Q36" s="27" t="n">
        <f aca="false">Supuestos!$B$74+(Supuestos!$B$75-Supuestos!$B$74)*Q33</f>
        <v>132892.644678822</v>
      </c>
      <c r="R36" s="27" t="n">
        <f aca="false">Supuestos!$B$74+(Supuestos!$B$75-Supuestos!$B$74)*R33</f>
        <v>134180.995922322</v>
      </c>
      <c r="S36" s="27" t="n">
        <f aca="false">Supuestos!$B$74+(Supuestos!$B$75-Supuestos!$B$74)*S33</f>
        <v>135556.998885149</v>
      </c>
      <c r="T36" s="27" t="n">
        <f aca="false">Supuestos!$B$74+(Supuestos!$B$75-Supuestos!$B$74)*T33</f>
        <v>137028.590687661</v>
      </c>
      <c r="U36" s="27" t="n">
        <f aca="false">Supuestos!$B$74+(Supuestos!$B$75-Supuestos!$B$74)*U33</f>
        <v>138604.287920872</v>
      </c>
      <c r="V36" s="27" t="n">
        <f aca="false">Supuestos!$B$74+(Supuestos!$B$75-Supuestos!$B$74)*V33</f>
        <v>140293.236334047</v>
      </c>
      <c r="W36" s="27" t="n">
        <f aca="false">Supuestos!$B$74+(Supuestos!$B$75-Supuestos!$B$74)*W33</f>
        <v>142105.264297506</v>
      </c>
      <c r="X36" s="27" t="n">
        <f aca="false">Supuestos!$B$74+(Supuestos!$B$75-Supuestos!$B$74)*X33</f>
        <v>144050.940354638</v>
      </c>
      <c r="Y36" s="27" t="n">
        <f aca="false">Supuestos!$B$74+(Supuestos!$B$75-Supuestos!$B$74)*Y33</f>
        <v>146141.635201541</v>
      </c>
      <c r="Z36" s="27" t="n">
        <f aca="false">Supuestos!$B$74+(Supuestos!$B$75-Supuestos!$B$74)*Z33</f>
        <v>148389.588459084</v>
      </c>
    </row>
    <row r="37" customFormat="false" ht="15" hidden="false" customHeight="true" outlineLevel="0" collapsed="false">
      <c r="A37" s="7" t="s">
        <v>232</v>
      </c>
      <c r="B37" s="3"/>
      <c r="C37" s="27" t="n">
        <f aca="false">C8*Escenarios!$C$12</f>
        <v>200000</v>
      </c>
      <c r="D37" s="27" t="n">
        <f aca="false">D8*Escenarios!$C$12</f>
        <v>216000</v>
      </c>
      <c r="E37" s="27" t="n">
        <f aca="false">E8*Escenarios!$C$12</f>
        <v>233280</v>
      </c>
      <c r="F37" s="27" t="n">
        <f aca="false">F8*Escenarios!$C$12</f>
        <v>251942.4</v>
      </c>
      <c r="G37" s="27" t="n">
        <f aca="false">G8*Escenarios!$C$12</f>
        <v>272097.792</v>
      </c>
      <c r="H37" s="27" t="n">
        <f aca="false">H8*Escenarios!$C$12</f>
        <v>293865.61536</v>
      </c>
      <c r="I37" s="27" t="n">
        <f aca="false">I8*Escenarios!$C$12</f>
        <v>317374.8645888</v>
      </c>
      <c r="J37" s="27" t="n">
        <f aca="false">J8*Escenarios!$C$12</f>
        <v>342764.853755904</v>
      </c>
      <c r="K37" s="27" t="n">
        <f aca="false">K8*Escenarios!$C$12</f>
        <v>370186.042056377</v>
      </c>
      <c r="L37" s="27" t="n">
        <f aca="false">L8*Escenarios!$C$12</f>
        <v>399800.925420887</v>
      </c>
      <c r="M37" s="27" t="n">
        <f aca="false">M8*Escenarios!$C$12</f>
        <v>431784.999454558</v>
      </c>
      <c r="N37" s="27" t="n">
        <f aca="false">N8*Escenarios!$C$12</f>
        <v>466327.799410922</v>
      </c>
      <c r="O37" s="27" t="n">
        <f aca="false">O8*Escenarios!$C$12</f>
        <v>503634.023363796</v>
      </c>
      <c r="P37" s="27" t="n">
        <f aca="false">P8*Escenarios!$C$12</f>
        <v>543924.7452329</v>
      </c>
      <c r="Q37" s="27" t="n">
        <f aca="false">Q8*Escenarios!$C$12</f>
        <v>587438.724851532</v>
      </c>
      <c r="R37" s="27" t="n">
        <f aca="false">R8*Escenarios!$C$12</f>
        <v>634433.822839654</v>
      </c>
      <c r="S37" s="27" t="n">
        <f aca="false">S8*Escenarios!$C$12</f>
        <v>685188.528666827</v>
      </c>
      <c r="T37" s="27" t="n">
        <f aca="false">T8*Escenarios!$C$12</f>
        <v>740003.610960173</v>
      </c>
      <c r="U37" s="27" t="n">
        <f aca="false">U8*Escenarios!$C$12</f>
        <v>799203.899836987</v>
      </c>
      <c r="V37" s="27" t="n">
        <f aca="false">V8*Escenarios!$C$12</f>
        <v>863140.211823946</v>
      </c>
      <c r="W37" s="27" t="n">
        <f aca="false">W8*Escenarios!$C$12</f>
        <v>932191.428769862</v>
      </c>
      <c r="X37" s="27" t="n">
        <f aca="false">X8*Escenarios!$C$12</f>
        <v>1006766.74307145</v>
      </c>
      <c r="Y37" s="27" t="n">
        <f aca="false">Y8*Escenarios!$C$12</f>
        <v>1087308.08251717</v>
      </c>
      <c r="Z37" s="27" t="n">
        <f aca="false">Z8*Escenarios!$C$12</f>
        <v>1174292.72911854</v>
      </c>
    </row>
    <row r="38" customFormat="false" ht="15" hidden="false" customHeight="true" outlineLevel="0" collapsed="false">
      <c r="A38" s="7" t="s">
        <v>175</v>
      </c>
      <c r="B38" s="3"/>
      <c r="C38" s="27" t="n">
        <f aca="false">IF(C$4&gt;=Supuestos!$B$85,Supuestos!$B$84,0)</f>
        <v>0</v>
      </c>
      <c r="D38" s="27" t="n">
        <f aca="false">IF(D$4&gt;=Supuestos!$B$85,Supuestos!$B$84,0)</f>
        <v>0</v>
      </c>
      <c r="E38" s="27" t="n">
        <f aca="false">IF(E$4&gt;=Supuestos!$B$85,Supuestos!$B$84,0)</f>
        <v>0</v>
      </c>
      <c r="F38" s="27" t="n">
        <f aca="false">IF(F$4&gt;=Supuestos!$B$85,Supuestos!$B$84,0)</f>
        <v>0</v>
      </c>
      <c r="G38" s="27" t="n">
        <f aca="false">IF(G$4&gt;=Supuestos!$B$85,Supuestos!$B$84,0)</f>
        <v>0</v>
      </c>
      <c r="H38" s="27" t="n">
        <f aca="false">IF(H$4&gt;=Supuestos!$B$85,Supuestos!$B$84,0)</f>
        <v>0</v>
      </c>
      <c r="I38" s="27" t="n">
        <f aca="false">IF(I$4&gt;=Supuestos!$B$85,Supuestos!$B$84,0)</f>
        <v>1500000</v>
      </c>
      <c r="J38" s="27" t="n">
        <f aca="false">IF(J$4&gt;=Supuestos!$B$85,Supuestos!$B$84,0)</f>
        <v>1500000</v>
      </c>
      <c r="K38" s="27" t="n">
        <f aca="false">IF(K$4&gt;=Supuestos!$B$85,Supuestos!$B$84,0)</f>
        <v>1500000</v>
      </c>
      <c r="L38" s="27" t="n">
        <f aca="false">IF(L$4&gt;=Supuestos!$B$85,Supuestos!$B$84,0)</f>
        <v>1500000</v>
      </c>
      <c r="M38" s="27" t="n">
        <f aca="false">IF(M$4&gt;=Supuestos!$B$85,Supuestos!$B$84,0)</f>
        <v>1500000</v>
      </c>
      <c r="N38" s="27" t="n">
        <f aca="false">IF(N$4&gt;=Supuestos!$B$85,Supuestos!$B$84,0)</f>
        <v>1500000</v>
      </c>
      <c r="O38" s="27" t="n">
        <f aca="false">IF(O$4&gt;=Supuestos!$B$85,Supuestos!$B$84,0)</f>
        <v>1500000</v>
      </c>
      <c r="P38" s="27" t="n">
        <f aca="false">IF(P$4&gt;=Supuestos!$B$85,Supuestos!$B$84,0)</f>
        <v>1500000</v>
      </c>
      <c r="Q38" s="27" t="n">
        <f aca="false">IF(Q$4&gt;=Supuestos!$B$85,Supuestos!$B$84,0)</f>
        <v>1500000</v>
      </c>
      <c r="R38" s="27" t="n">
        <f aca="false">IF(R$4&gt;=Supuestos!$B$85,Supuestos!$B$84,0)</f>
        <v>1500000</v>
      </c>
      <c r="S38" s="27" t="n">
        <f aca="false">IF(S$4&gt;=Supuestos!$B$85,Supuestos!$B$84,0)</f>
        <v>1500000</v>
      </c>
      <c r="T38" s="27" t="n">
        <f aca="false">IF(T$4&gt;=Supuestos!$B$85,Supuestos!$B$84,0)</f>
        <v>1500000</v>
      </c>
      <c r="U38" s="27" t="n">
        <f aca="false">IF(U$4&gt;=Supuestos!$B$85,Supuestos!$B$84,0)</f>
        <v>1500000</v>
      </c>
      <c r="V38" s="27" t="n">
        <f aca="false">IF(V$4&gt;=Supuestos!$B$85,Supuestos!$B$84,0)</f>
        <v>1500000</v>
      </c>
      <c r="W38" s="27" t="n">
        <f aca="false">IF(W$4&gt;=Supuestos!$B$85,Supuestos!$B$84,0)</f>
        <v>1500000</v>
      </c>
      <c r="X38" s="27" t="n">
        <f aca="false">IF(X$4&gt;=Supuestos!$B$85,Supuestos!$B$84,0)</f>
        <v>1500000</v>
      </c>
      <c r="Y38" s="27" t="n">
        <f aca="false">IF(Y$4&gt;=Supuestos!$B$85,Supuestos!$B$84,0)</f>
        <v>1500000</v>
      </c>
      <c r="Z38" s="27" t="n">
        <f aca="false">IF(Z$4&gt;=Supuestos!$B$85,Supuestos!$B$84,0)</f>
        <v>1500000</v>
      </c>
    </row>
    <row r="39" customFormat="false" ht="15" hidden="false" customHeight="true" outlineLevel="0" collapsed="false">
      <c r="A39" s="7" t="s">
        <v>233</v>
      </c>
      <c r="B39" s="3"/>
      <c r="C39" s="27" t="n">
        <f aca="false">IF(C$4=1,Supuestos!$B$86,0)</f>
        <v>600000</v>
      </c>
      <c r="D39" s="27" t="n">
        <f aca="false">IF(D$4=1,Supuestos!$B$86,0)</f>
        <v>0</v>
      </c>
      <c r="E39" s="27" t="n">
        <f aca="false">IF(E$4=1,Supuestos!$B$86,0)</f>
        <v>0</v>
      </c>
      <c r="F39" s="27" t="n">
        <f aca="false">IF(F$4=1,Supuestos!$B$86,0)</f>
        <v>0</v>
      </c>
      <c r="G39" s="27" t="n">
        <f aca="false">IF(G$4=1,Supuestos!$B$86,0)</f>
        <v>0</v>
      </c>
      <c r="H39" s="27" t="n">
        <f aca="false">IF(H$4=1,Supuestos!$B$86,0)</f>
        <v>0</v>
      </c>
      <c r="I39" s="27" t="n">
        <f aca="false">IF(I$4=1,Supuestos!$B$86,0)</f>
        <v>0</v>
      </c>
      <c r="J39" s="27" t="n">
        <f aca="false">IF(J$4=1,Supuestos!$B$86,0)</f>
        <v>0</v>
      </c>
      <c r="K39" s="27" t="n">
        <f aca="false">IF(K$4=1,Supuestos!$B$86,0)</f>
        <v>0</v>
      </c>
      <c r="L39" s="27" t="n">
        <f aca="false">IF(L$4=1,Supuestos!$B$86,0)</f>
        <v>0</v>
      </c>
      <c r="M39" s="27" t="n">
        <f aca="false">IF(M$4=1,Supuestos!$B$86,0)</f>
        <v>0</v>
      </c>
      <c r="N39" s="27" t="n">
        <f aca="false">IF(N$4=1,Supuestos!$B$86,0)</f>
        <v>0</v>
      </c>
      <c r="O39" s="27" t="n">
        <f aca="false">IF(O$4=1,Supuestos!$B$86,0)</f>
        <v>0</v>
      </c>
      <c r="P39" s="27" t="n">
        <f aca="false">IF(P$4=1,Supuestos!$B$86,0)</f>
        <v>0</v>
      </c>
      <c r="Q39" s="27" t="n">
        <f aca="false">IF(Q$4=1,Supuestos!$B$86,0)</f>
        <v>0</v>
      </c>
      <c r="R39" s="27" t="n">
        <f aca="false">IF(R$4=1,Supuestos!$B$86,0)</f>
        <v>0</v>
      </c>
      <c r="S39" s="27" t="n">
        <f aca="false">IF(S$4=1,Supuestos!$B$86,0)</f>
        <v>0</v>
      </c>
      <c r="T39" s="27" t="n">
        <f aca="false">IF(T$4=1,Supuestos!$B$86,0)</f>
        <v>0</v>
      </c>
      <c r="U39" s="27" t="n">
        <f aca="false">IF(U$4=1,Supuestos!$B$86,0)</f>
        <v>0</v>
      </c>
      <c r="V39" s="27" t="n">
        <f aca="false">IF(V$4=1,Supuestos!$B$86,0)</f>
        <v>0</v>
      </c>
      <c r="W39" s="27" t="n">
        <f aca="false">IF(W$4=1,Supuestos!$B$86,0)</f>
        <v>0</v>
      </c>
      <c r="X39" s="27" t="n">
        <f aca="false">IF(X$4=1,Supuestos!$B$86,0)</f>
        <v>0</v>
      </c>
      <c r="Y39" s="27" t="n">
        <f aca="false">IF(Y$4=1,Supuestos!$B$86,0)</f>
        <v>0</v>
      </c>
      <c r="Z39" s="27" t="n">
        <f aca="false">IF(Z$4=1,Supuestos!$B$86,0)</f>
        <v>0</v>
      </c>
    </row>
    <row r="40" customFormat="false" ht="15" hidden="false" customHeight="true" outlineLevel="0" collapsed="false">
      <c r="A40" s="14" t="s">
        <v>234</v>
      </c>
      <c r="B40" s="3"/>
      <c r="C40" s="28" t="n">
        <f aca="false">SUM(C34:C39)</f>
        <v>1170478.75</v>
      </c>
      <c r="D40" s="28" t="n">
        <f aca="false">SUM(D34:D39)</f>
        <v>589574.45</v>
      </c>
      <c r="E40" s="28" t="n">
        <f aca="false">SUM(E34:E39)</f>
        <v>610026.632</v>
      </c>
      <c r="F40" s="28" t="n">
        <f aca="false">SUM(F34:F39)</f>
        <v>631954.085</v>
      </c>
      <c r="G40" s="28" t="n">
        <f aca="false">SUM(G34:G39)</f>
        <v>655484.4848936</v>
      </c>
      <c r="H40" s="28" t="n">
        <f aca="false">SUM(H34:H39)</f>
        <v>680755.142393072</v>
      </c>
      <c r="I40" s="28" t="n">
        <f aca="false">SUM(I34:I39)</f>
        <v>2207913.80857002</v>
      </c>
      <c r="J40" s="28" t="n">
        <f aca="false">SUM(J34:J39)</f>
        <v>2237119.542754</v>
      </c>
      <c r="K40" s="28" t="n">
        <f aca="false">SUM(K34:K39)</f>
        <v>2268543.64790279</v>
      </c>
      <c r="L40" s="28" t="n">
        <f aca="false">SUM(L34:L39)</f>
        <v>2302370.67895978</v>
      </c>
      <c r="M40" s="28" t="n">
        <f aca="false">SUM(M34:M39)</f>
        <v>2338799.53014784</v>
      </c>
      <c r="N40" s="28" t="n">
        <f aca="false">SUM(N34:N39)</f>
        <v>2378044.60761867</v>
      </c>
      <c r="O40" s="28" t="n">
        <f aca="false">SUM(O34:O39)</f>
        <v>2420337.09438362</v>
      </c>
      <c r="P40" s="28" t="n">
        <f aca="false">SUM(P34:P39)</f>
        <v>2465926.31500045</v>
      </c>
      <c r="Q40" s="28" t="n">
        <f aca="false">SUM(Q34:Q39)</f>
        <v>2515081.20808265</v>
      </c>
      <c r="R40" s="28" t="n">
        <f aca="false">SUM(R34:R39)</f>
        <v>2568091.91533849</v>
      </c>
      <c r="S40" s="28" t="n">
        <f aca="false">SUM(S34:S39)</f>
        <v>2625271.49653826</v>
      </c>
      <c r="T40" s="28" t="n">
        <f aca="false">SUM(T34:T39)</f>
        <v>2686957.78055564</v>
      </c>
      <c r="U40" s="28" t="n">
        <f aca="false">SUM(U34:U39)</f>
        <v>2753515.36343675</v>
      </c>
      <c r="V40" s="28" t="n">
        <f aca="false">SUM(V34:V39)</f>
        <v>2825337.76532215</v>
      </c>
      <c r="W40" s="28" t="n">
        <f aca="false">SUM(W34:W39)</f>
        <v>2902849.75898976</v>
      </c>
      <c r="X40" s="28" t="n">
        <f aca="false">SUM(X34:X39)</f>
        <v>2986509.88380426</v>
      </c>
      <c r="Y40" s="28" t="n">
        <f aca="false">SUM(Y34:Y39)</f>
        <v>3076813.15995821</v>
      </c>
      <c r="Z40" s="28" t="n">
        <f aca="false">SUM(Z34:Z39)</f>
        <v>3174294.01907749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11" t="s">
        <v>235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5" hidden="false" customHeight="true" outlineLevel="0" collapsed="false">
      <c r="A43" s="14" t="s">
        <v>12</v>
      </c>
      <c r="B43" s="3"/>
      <c r="C43" s="28" t="n">
        <f aca="false">C29-C40</f>
        <v>-1071345.44368487</v>
      </c>
      <c r="D43" s="28" t="n">
        <f aca="false">D29-D40</f>
        <v>-389325.171243445</v>
      </c>
      <c r="E43" s="28" t="n">
        <f aca="false">E29-E40</f>
        <v>-306163.221482876</v>
      </c>
      <c r="F43" s="28" t="n">
        <f aca="false">F29-F40</f>
        <v>-221443.063549063</v>
      </c>
      <c r="G43" s="28" t="n">
        <f aca="false">G29-G40</f>
        <v>-134734.355919692</v>
      </c>
      <c r="H43" s="28" t="n">
        <f aca="false">H29-H40</f>
        <v>-45590.6708427693</v>
      </c>
      <c r="I43" s="28" t="n">
        <f aca="false">I29-I40</f>
        <v>-1453547.10697272</v>
      </c>
      <c r="J43" s="28" t="n">
        <f aca="false">J29-J40</f>
        <v>-1358117.77704532</v>
      </c>
      <c r="K43" s="28" t="n">
        <f aca="false">K29-K40</f>
        <v>-1258793.15663284</v>
      </c>
      <c r="L43" s="28" t="n">
        <f aca="false">L29-L40</f>
        <v>-1155037.27914192</v>
      </c>
      <c r="M43" s="28" t="n">
        <f aca="false">M29-M40</f>
        <v>-1046284.76125303</v>
      </c>
      <c r="N43" s="28" t="n">
        <f aca="false">N29-N40</f>
        <v>-931937.641946239</v>
      </c>
      <c r="O43" s="28" t="n">
        <f aca="false">O29-O40</f>
        <v>-811362.017107327</v>
      </c>
      <c r="P43" s="28" t="n">
        <f aca="false">P29-P40</f>
        <v>-683884.450452978</v>
      </c>
      <c r="Q43" s="28" t="n">
        <f aca="false">Q29-Q40</f>
        <v>-548788.140147658</v>
      </c>
      <c r="R43" s="28" t="n">
        <f aca="false">R29-R40</f>
        <v>-405308.818998406</v>
      </c>
      <c r="S43" s="28" t="n">
        <f aca="false">S29-S40</f>
        <v>-252630.364498877</v>
      </c>
      <c r="T43" s="28" t="n">
        <f aca="false">T29-T40</f>
        <v>-89880.0932405498</v>
      </c>
      <c r="U43" s="28" t="n">
        <f aca="false">U29-U40</f>
        <v>83876.2876933492</v>
      </c>
      <c r="V43" s="28" t="n">
        <f aca="false">V29-V40</f>
        <v>269640.101798371</v>
      </c>
      <c r="W43" s="28" t="n">
        <f aca="false">W29-W40</f>
        <v>468485.528366422</v>
      </c>
      <c r="X43" s="28" t="n">
        <f aca="false">X29-X40</f>
        <v>681565.865954466</v>
      </c>
      <c r="Y43" s="28" t="n">
        <f aca="false">Y29-Y40</f>
        <v>910120.270830429</v>
      </c>
      <c r="Z43" s="28" t="n">
        <f aca="false">Z29-Z40</f>
        <v>1155481.00996049</v>
      </c>
    </row>
    <row r="44" customFormat="false" ht="15" hidden="false" customHeight="true" outlineLevel="0" collapsed="false">
      <c r="A44" s="7" t="s">
        <v>236</v>
      </c>
      <c r="B44" s="3"/>
      <c r="C44" s="27" t="n">
        <f aca="false">IF(C$4&lt;=Supuestos!$B$88,Supuestos!$B$89,0)</f>
        <v>50000</v>
      </c>
      <c r="D44" s="27" t="n">
        <f aca="false">IF(D$4&lt;=Supuestos!$B$88,Supuestos!$B$89,0)</f>
        <v>50000</v>
      </c>
      <c r="E44" s="27" t="n">
        <f aca="false">IF(E$4&lt;=Supuestos!$B$88,Supuestos!$B$89,0)</f>
        <v>50000</v>
      </c>
      <c r="F44" s="27" t="n">
        <f aca="false">IF(F$4&lt;=Supuestos!$B$88,Supuestos!$B$89,0)</f>
        <v>50000</v>
      </c>
      <c r="G44" s="27" t="n">
        <f aca="false">IF(G$4&lt;=Supuestos!$B$88,Supuestos!$B$89,0)</f>
        <v>50000</v>
      </c>
      <c r="H44" s="27" t="n">
        <f aca="false">IF(H$4&lt;=Supuestos!$B$88,Supuestos!$B$89,0)</f>
        <v>50000</v>
      </c>
      <c r="I44" s="27" t="n">
        <f aca="false">IF(I$4&lt;=Supuestos!$B$88,Supuestos!$B$89,0)</f>
        <v>50000</v>
      </c>
      <c r="J44" s="27" t="n">
        <f aca="false">IF(J$4&lt;=Supuestos!$B$88,Supuestos!$B$89,0)</f>
        <v>50000</v>
      </c>
      <c r="K44" s="27" t="n">
        <f aca="false">IF(K$4&lt;=Supuestos!$B$88,Supuestos!$B$89,0)</f>
        <v>50000</v>
      </c>
      <c r="L44" s="27" t="n">
        <f aca="false">IF(L$4&lt;=Supuestos!$B$88,Supuestos!$B$89,0)</f>
        <v>50000</v>
      </c>
      <c r="M44" s="27" t="n">
        <f aca="false">IF(M$4&lt;=Supuestos!$B$88,Supuestos!$B$89,0)</f>
        <v>50000</v>
      </c>
      <c r="N44" s="27" t="n">
        <f aca="false">IF(N$4&lt;=Supuestos!$B$88,Supuestos!$B$89,0)</f>
        <v>50000</v>
      </c>
      <c r="O44" s="27" t="n">
        <f aca="false">IF(O$4&lt;=Supuestos!$B$88,Supuestos!$B$89,0)</f>
        <v>50000</v>
      </c>
      <c r="P44" s="27" t="n">
        <f aca="false">IF(P$4&lt;=Supuestos!$B$88,Supuestos!$B$89,0)</f>
        <v>50000</v>
      </c>
      <c r="Q44" s="27" t="n">
        <f aca="false">IF(Q$4&lt;=Supuestos!$B$88,Supuestos!$B$89,0)</f>
        <v>50000</v>
      </c>
      <c r="R44" s="27" t="n">
        <f aca="false">IF(R$4&lt;=Supuestos!$B$88,Supuestos!$B$89,0)</f>
        <v>50000</v>
      </c>
      <c r="S44" s="27" t="n">
        <f aca="false">IF(S$4&lt;=Supuestos!$B$88,Supuestos!$B$89,0)</f>
        <v>50000</v>
      </c>
      <c r="T44" s="27" t="n">
        <f aca="false">IF(T$4&lt;=Supuestos!$B$88,Supuestos!$B$89,0)</f>
        <v>50000</v>
      </c>
      <c r="U44" s="27" t="n">
        <f aca="false">IF(U$4&lt;=Supuestos!$B$88,Supuestos!$B$89,0)</f>
        <v>50000</v>
      </c>
      <c r="V44" s="27" t="n">
        <f aca="false">IF(V$4&lt;=Supuestos!$B$88,Supuestos!$B$89,0)</f>
        <v>50000</v>
      </c>
      <c r="W44" s="27" t="n">
        <f aca="false">IF(W$4&lt;=Supuestos!$B$88,Supuestos!$B$89,0)</f>
        <v>50000</v>
      </c>
      <c r="X44" s="27" t="n">
        <f aca="false">IF(X$4&lt;=Supuestos!$B$88,Supuestos!$B$89,0)</f>
        <v>50000</v>
      </c>
      <c r="Y44" s="27" t="n">
        <f aca="false">IF(Y$4&lt;=Supuestos!$B$88,Supuestos!$B$89,0)</f>
        <v>50000</v>
      </c>
      <c r="Z44" s="27" t="n">
        <f aca="false">IF(Z$4&lt;=Supuestos!$B$88,Supuestos!$B$89,0)</f>
        <v>50000</v>
      </c>
    </row>
    <row r="45" customFormat="false" ht="15" hidden="false" customHeight="true" outlineLevel="0" collapsed="false">
      <c r="A45" s="14" t="s">
        <v>13</v>
      </c>
      <c r="B45" s="3"/>
      <c r="C45" s="28" t="n">
        <f aca="false">C43-C44</f>
        <v>-1121345.44368487</v>
      </c>
      <c r="D45" s="28" t="n">
        <f aca="false">D43-D44</f>
        <v>-439325.171243445</v>
      </c>
      <c r="E45" s="28" t="n">
        <f aca="false">E43-E44</f>
        <v>-356163.221482876</v>
      </c>
      <c r="F45" s="28" t="n">
        <f aca="false">F43-F44</f>
        <v>-271443.063549063</v>
      </c>
      <c r="G45" s="28" t="n">
        <f aca="false">G43-G44</f>
        <v>-184734.355919692</v>
      </c>
      <c r="H45" s="28" t="n">
        <f aca="false">H43-H44</f>
        <v>-95590.6708427693</v>
      </c>
      <c r="I45" s="28" t="n">
        <f aca="false">I43-I44</f>
        <v>-1503547.10697272</v>
      </c>
      <c r="J45" s="28" t="n">
        <f aca="false">J43-J44</f>
        <v>-1408117.77704532</v>
      </c>
      <c r="K45" s="28" t="n">
        <f aca="false">K43-K44</f>
        <v>-1308793.15663284</v>
      </c>
      <c r="L45" s="28" t="n">
        <f aca="false">L43-L44</f>
        <v>-1205037.27914192</v>
      </c>
      <c r="M45" s="28" t="n">
        <f aca="false">M43-M44</f>
        <v>-1096284.76125303</v>
      </c>
      <c r="N45" s="28" t="n">
        <f aca="false">N43-N44</f>
        <v>-981937.641946239</v>
      </c>
      <c r="O45" s="28" t="n">
        <f aca="false">O43-O44</f>
        <v>-861362.017107327</v>
      </c>
      <c r="P45" s="28" t="n">
        <f aca="false">P43-P44</f>
        <v>-733884.450452978</v>
      </c>
      <c r="Q45" s="28" t="n">
        <f aca="false">Q43-Q44</f>
        <v>-598788.140147658</v>
      </c>
      <c r="R45" s="28" t="n">
        <f aca="false">R43-R44</f>
        <v>-455308.818998406</v>
      </c>
      <c r="S45" s="28" t="n">
        <f aca="false">S43-S44</f>
        <v>-302630.364498877</v>
      </c>
      <c r="T45" s="28" t="n">
        <f aca="false">T43-T44</f>
        <v>-139880.09324055</v>
      </c>
      <c r="U45" s="28" t="n">
        <f aca="false">U43-U44</f>
        <v>33876.2876933492</v>
      </c>
      <c r="V45" s="28" t="n">
        <f aca="false">V43-V44</f>
        <v>219640.101798371</v>
      </c>
      <c r="W45" s="28" t="n">
        <f aca="false">W43-W44</f>
        <v>418485.528366422</v>
      </c>
      <c r="X45" s="28" t="n">
        <f aca="false">X43-X44</f>
        <v>631565.865954466</v>
      </c>
      <c r="Y45" s="28" t="n">
        <f aca="false">Y43-Y44</f>
        <v>860120.270830429</v>
      </c>
      <c r="Z45" s="28" t="n">
        <f aca="false">Z43-Z44</f>
        <v>1105481.00996049</v>
      </c>
    </row>
    <row r="46" customFormat="false" ht="15" hidden="false" customHeight="true" outlineLevel="0" collapsed="false">
      <c r="A46" s="14" t="s">
        <v>237</v>
      </c>
      <c r="B46" s="3"/>
      <c r="C46" s="28" t="n">
        <f aca="false">C45</f>
        <v>-1121345.44368487</v>
      </c>
      <c r="D46" s="28" t="n">
        <f aca="false">C46+D45</f>
        <v>-1560670.61492832</v>
      </c>
      <c r="E46" s="28" t="n">
        <f aca="false">D46+E45</f>
        <v>-1916833.83641119</v>
      </c>
      <c r="F46" s="28" t="n">
        <f aca="false">E46+F45</f>
        <v>-2188276.89996026</v>
      </c>
      <c r="G46" s="28" t="n">
        <f aca="false">F46+G45</f>
        <v>-2373011.25587995</v>
      </c>
      <c r="H46" s="28" t="n">
        <f aca="false">G46+H45</f>
        <v>-2468601.92672272</v>
      </c>
      <c r="I46" s="28" t="n">
        <f aca="false">H46+I45</f>
        <v>-3972149.03369544</v>
      </c>
      <c r="J46" s="28" t="n">
        <f aca="false">I46+J45</f>
        <v>-5380266.81074076</v>
      </c>
      <c r="K46" s="28" t="n">
        <f aca="false">J46+K45</f>
        <v>-6689059.9673736</v>
      </c>
      <c r="L46" s="28" t="n">
        <f aca="false">K46+L45</f>
        <v>-7894097.24651552</v>
      </c>
      <c r="M46" s="28" t="n">
        <f aca="false">L46+M45</f>
        <v>-8990382.00776856</v>
      </c>
      <c r="N46" s="28" t="n">
        <f aca="false">M46+N45</f>
        <v>-9972319.64971479</v>
      </c>
      <c r="O46" s="28" t="n">
        <f aca="false">N46+O45</f>
        <v>-10833681.6668221</v>
      </c>
      <c r="P46" s="28" t="n">
        <f aca="false">O46+P45</f>
        <v>-11567566.1172751</v>
      </c>
      <c r="Q46" s="28" t="n">
        <f aca="false">P46+Q45</f>
        <v>-12166354.2574228</v>
      </c>
      <c r="R46" s="28" t="n">
        <f aca="false">Q46+R45</f>
        <v>-12621663.0764212</v>
      </c>
      <c r="S46" s="28" t="n">
        <f aca="false">R46+S45</f>
        <v>-12924293.44092</v>
      </c>
      <c r="T46" s="28" t="n">
        <f aca="false">S46+T45</f>
        <v>-13064173.5341606</v>
      </c>
      <c r="U46" s="28" t="n">
        <f aca="false">T46+U45</f>
        <v>-13030297.2464672</v>
      </c>
      <c r="V46" s="28" t="n">
        <f aca="false">U46+V45</f>
        <v>-12810657.1446689</v>
      </c>
      <c r="W46" s="28" t="n">
        <f aca="false">V46+W45</f>
        <v>-12392171.6163024</v>
      </c>
      <c r="X46" s="28" t="n">
        <f aca="false">W46+X45</f>
        <v>-11760605.750348</v>
      </c>
      <c r="Y46" s="28" t="n">
        <f aca="false">X46+Y45</f>
        <v>-10900485.4795176</v>
      </c>
      <c r="Z46" s="28" t="n">
        <f aca="false">Y46+Z45</f>
        <v>-9795004.46955706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11" t="s">
        <v>238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5" hidden="false" customHeight="true" outlineLevel="0" collapsed="false">
      <c r="A49" s="7" t="s">
        <v>239</v>
      </c>
      <c r="B49" s="3"/>
      <c r="C49" s="27" t="n">
        <f aca="false">C22*12</f>
        <v>1469454.45378151</v>
      </c>
      <c r="D49" s="27" t="n">
        <f aca="false">D22*12</f>
        <v>2968297.99663865</v>
      </c>
      <c r="E49" s="27" t="n">
        <f aca="false">E22*12</f>
        <v>4504171.79173109</v>
      </c>
      <c r="F49" s="27" t="n">
        <f aca="false">F22*12</f>
        <v>6085010.89310924</v>
      </c>
      <c r="G49" s="27" t="n">
        <f aca="false">G22*12</f>
        <v>7719086.80111527</v>
      </c>
      <c r="H49" s="27" t="n">
        <f aca="false">H22*12</f>
        <v>9415052.27956833</v>
      </c>
      <c r="I49" s="27" t="n">
        <f aca="false">I22*12</f>
        <v>11181988.6842358</v>
      </c>
      <c r="J49" s="27" t="n">
        <f aca="false">J22*12</f>
        <v>13029456.0679386</v>
      </c>
      <c r="K49" s="27" t="n">
        <f aca="false">K22*12</f>
        <v>14967546.3449997</v>
      </c>
      <c r="L49" s="27" t="n">
        <f aca="false">L22*12</f>
        <v>17006939.8167282</v>
      </c>
      <c r="M49" s="27" t="n">
        <f aca="false">M22*12</f>
        <v>19158965.3803473</v>
      </c>
      <c r="N49" s="27" t="n">
        <f aca="false">N22*12</f>
        <v>21435664.766359</v>
      </c>
      <c r="O49" s="27" t="n">
        <f aca="false">O22*12</f>
        <v>23849861.1739166</v>
      </c>
      <c r="P49" s="27" t="n">
        <f aca="false">P22*12</f>
        <v>26415232.7005039</v>
      </c>
      <c r="Q49" s="27" t="n">
        <f aca="false">Q22*12</f>
        <v>29146390.9912577</v>
      </c>
      <c r="R49" s="27" t="n">
        <f aca="false">R22*12</f>
        <v>32058965.5647891</v>
      </c>
      <c r="S49" s="27" t="n">
        <f aca="false">S22*12</f>
        <v>35169694.3065491</v>
      </c>
      <c r="T49" s="27" t="n">
        <f aca="false">T22*12</f>
        <v>38496520.6578553</v>
      </c>
      <c r="U49" s="27" t="n">
        <f aca="false">U22*12</f>
        <v>42058698.068859</v>
      </c>
      <c r="V49" s="27" t="n">
        <f aca="false">V22*12</f>
        <v>45876902.3272406</v>
      </c>
      <c r="W49" s="27" t="n">
        <f aca="false">W22*12</f>
        <v>49973352.4215203</v>
      </c>
      <c r="X49" s="27" t="n">
        <f aca="false">X22*12</f>
        <v>54371940.6488563</v>
      </c>
      <c r="Y49" s="27" t="n">
        <f aca="false">Y22*12</f>
        <v>59098372.7323623</v>
      </c>
      <c r="Z49" s="27" t="n">
        <f aca="false">Z22*12</f>
        <v>64180318.772653</v>
      </c>
    </row>
    <row r="50" customFormat="false" ht="15" hidden="false" customHeight="true" outlineLevel="0" collapsed="false">
      <c r="A50" s="7" t="s">
        <v>240</v>
      </c>
      <c r="B50" s="3"/>
      <c r="C50" s="27" t="n">
        <f aca="false">IF(C9=0,0,C22/C9)</f>
        <v>24490.9075630252</v>
      </c>
      <c r="D50" s="27" t="n">
        <f aca="false">IF(D9=0,0,D22/D9)</f>
        <v>24490.9075630252</v>
      </c>
      <c r="E50" s="27" t="n">
        <f aca="false">IF(E9=0,0,E22/E9)</f>
        <v>24490.9075630252</v>
      </c>
      <c r="F50" s="27" t="n">
        <f aca="false">IF(F9=0,0,F22/F9)</f>
        <v>24490.9075630252</v>
      </c>
      <c r="G50" s="27" t="n">
        <f aca="false">IF(G9=0,0,G22/G9)</f>
        <v>24490.9075630252</v>
      </c>
      <c r="H50" s="27" t="n">
        <f aca="false">IF(H9=0,0,H22/H9)</f>
        <v>24490.9075630252</v>
      </c>
      <c r="I50" s="27" t="n">
        <f aca="false">IF(I9=0,0,I22/I9)</f>
        <v>24490.9075630252</v>
      </c>
      <c r="J50" s="27" t="n">
        <f aca="false">IF(J9=0,0,J22/J9)</f>
        <v>24490.9075630252</v>
      </c>
      <c r="K50" s="27" t="n">
        <f aca="false">IF(K9=0,0,K22/K9)</f>
        <v>24490.9075630252</v>
      </c>
      <c r="L50" s="27" t="n">
        <f aca="false">IF(L9=0,0,L22/L9)</f>
        <v>24490.9075630252</v>
      </c>
      <c r="M50" s="27" t="n">
        <f aca="false">IF(M9=0,0,M22/M9)</f>
        <v>24490.9075630252</v>
      </c>
      <c r="N50" s="27" t="n">
        <f aca="false">IF(N9=0,0,N22/N9)</f>
        <v>24490.9075630252</v>
      </c>
      <c r="O50" s="27" t="n">
        <f aca="false">IF(O9=0,0,O22/O9)</f>
        <v>24490.9075630252</v>
      </c>
      <c r="P50" s="27" t="n">
        <f aca="false">IF(P9=0,0,P22/P9)</f>
        <v>24490.9075630252</v>
      </c>
      <c r="Q50" s="27" t="n">
        <f aca="false">IF(Q9=0,0,Q22/Q9)</f>
        <v>24490.9075630252</v>
      </c>
      <c r="R50" s="27" t="n">
        <f aca="false">IF(R9=0,0,R22/R9)</f>
        <v>24490.9075630252</v>
      </c>
      <c r="S50" s="27" t="n">
        <f aca="false">IF(S9=0,0,S22/S9)</f>
        <v>24490.9075630252</v>
      </c>
      <c r="T50" s="27" t="n">
        <f aca="false">IF(T9=0,0,T22/T9)</f>
        <v>24490.9075630252</v>
      </c>
      <c r="U50" s="27" t="n">
        <f aca="false">IF(U9=0,0,U22/U9)</f>
        <v>24490.9075630252</v>
      </c>
      <c r="V50" s="27" t="n">
        <f aca="false">IF(V9=0,0,V22/V9)</f>
        <v>24490.9075630252</v>
      </c>
      <c r="W50" s="27" t="n">
        <f aca="false">IF(W9=0,0,W22/W9)</f>
        <v>24490.9075630252</v>
      </c>
      <c r="X50" s="27" t="n">
        <f aca="false">IF(X9=0,0,X22/X9)</f>
        <v>24490.9075630252</v>
      </c>
      <c r="Y50" s="27" t="n">
        <f aca="false">IF(Y9=0,0,Y22/Y9)</f>
        <v>24490.9075630252</v>
      </c>
      <c r="Z50" s="27" t="n">
        <f aca="false">IF(Z9=0,0,Z22/Z9)</f>
        <v>24490.9075630252</v>
      </c>
    </row>
    <row r="51" customFormat="false" ht="15" hidden="false" customHeight="true" outlineLevel="0" collapsed="false">
      <c r="A51" s="7" t="s">
        <v>241</v>
      </c>
      <c r="B51" s="3"/>
      <c r="C51" s="27" t="n">
        <f aca="false">IF(C9=0,0,C29/C9)</f>
        <v>19826.6612630252</v>
      </c>
      <c r="D51" s="27" t="n">
        <f aca="false">IF(D9=0,0,D29/D9)</f>
        <v>19826.6612630252</v>
      </c>
      <c r="E51" s="27" t="n">
        <f aca="false">IF(E9=0,0,E29/E9)</f>
        <v>19826.6612630252</v>
      </c>
      <c r="F51" s="27" t="n">
        <f aca="false">IF(F9=0,0,F29/F9)</f>
        <v>19826.6612630252</v>
      </c>
      <c r="G51" s="27" t="n">
        <f aca="false">IF(G9=0,0,G29/G9)</f>
        <v>19826.6612630252</v>
      </c>
      <c r="H51" s="27" t="n">
        <f aca="false">IF(H9=0,0,H29/H9)</f>
        <v>19826.6612630252</v>
      </c>
      <c r="I51" s="27" t="n">
        <f aca="false">IF(I9=0,0,I29/I9)</f>
        <v>19826.6612630252</v>
      </c>
      <c r="J51" s="27" t="n">
        <f aca="false">IF(J9=0,0,J29/J9)</f>
        <v>19826.6612630252</v>
      </c>
      <c r="K51" s="27" t="n">
        <f aca="false">IF(K9=0,0,K29/K9)</f>
        <v>19826.6612630252</v>
      </c>
      <c r="L51" s="27" t="n">
        <f aca="false">IF(L9=0,0,L29/L9)</f>
        <v>19826.6612630252</v>
      </c>
      <c r="M51" s="27" t="n">
        <f aca="false">IF(M9=0,0,M29/M9)</f>
        <v>19826.6612630252</v>
      </c>
      <c r="N51" s="27" t="n">
        <f aca="false">IF(N9=0,0,N29/N9)</f>
        <v>19826.6612630252</v>
      </c>
      <c r="O51" s="27" t="n">
        <f aca="false">IF(O9=0,0,O29/O9)</f>
        <v>19826.6612630252</v>
      </c>
      <c r="P51" s="27" t="n">
        <f aca="false">IF(P9=0,0,P29/P9)</f>
        <v>19826.6612630252</v>
      </c>
      <c r="Q51" s="27" t="n">
        <f aca="false">IF(Q9=0,0,Q29/Q9)</f>
        <v>19826.6612630252</v>
      </c>
      <c r="R51" s="27" t="n">
        <f aca="false">IF(R9=0,0,R29/R9)</f>
        <v>19826.6612630252</v>
      </c>
      <c r="S51" s="27" t="n">
        <f aca="false">IF(S9=0,0,S29/S9)</f>
        <v>19826.6612630252</v>
      </c>
      <c r="T51" s="27" t="n">
        <f aca="false">IF(T9=0,0,T29/T9)</f>
        <v>19826.6612630252</v>
      </c>
      <c r="U51" s="27" t="n">
        <f aca="false">IF(U9=0,0,U29/U9)</f>
        <v>19826.6612630252</v>
      </c>
      <c r="V51" s="27" t="n">
        <f aca="false">IF(V9=0,0,V29/V9)</f>
        <v>19826.6612630252</v>
      </c>
      <c r="W51" s="27" t="n">
        <f aca="false">IF(W9=0,0,W29/W9)</f>
        <v>19826.6612630252</v>
      </c>
      <c r="X51" s="27" t="n">
        <f aca="false">IF(X9=0,0,X29/X9)</f>
        <v>19826.6612630252</v>
      </c>
      <c r="Y51" s="27" t="n">
        <f aca="false">IF(Y9=0,0,Y29/Y9)</f>
        <v>19826.6612630252</v>
      </c>
      <c r="Z51" s="27" t="n">
        <f aca="false">IF(Z9=0,0,Z29/Z9)</f>
        <v>19826.6612630252</v>
      </c>
    </row>
    <row r="52" customFormat="false" ht="15" hidden="false" customHeight="true" outlineLevel="0" collapsed="false">
      <c r="A52" s="7" t="s">
        <v>242</v>
      </c>
      <c r="B52" s="3"/>
      <c r="C52" s="30" t="n">
        <f aca="false">IF(C43&gt;=0,1,0)</f>
        <v>0</v>
      </c>
      <c r="D52" s="30" t="n">
        <f aca="false">IF(D43&gt;=0,1,0)</f>
        <v>0</v>
      </c>
      <c r="E52" s="30" t="n">
        <f aca="false">IF(E43&gt;=0,1,0)</f>
        <v>0</v>
      </c>
      <c r="F52" s="30" t="n">
        <f aca="false">IF(F43&gt;=0,1,0)</f>
        <v>0</v>
      </c>
      <c r="G52" s="30" t="n">
        <f aca="false">IF(G43&gt;=0,1,0)</f>
        <v>0</v>
      </c>
      <c r="H52" s="30" t="n">
        <f aca="false">IF(H43&gt;=0,1,0)</f>
        <v>0</v>
      </c>
      <c r="I52" s="30" t="n">
        <f aca="false">IF(I43&gt;=0,1,0)</f>
        <v>0</v>
      </c>
      <c r="J52" s="30" t="n">
        <f aca="false">IF(J43&gt;=0,1,0)</f>
        <v>0</v>
      </c>
      <c r="K52" s="30" t="n">
        <f aca="false">IF(K43&gt;=0,1,0)</f>
        <v>0</v>
      </c>
      <c r="L52" s="30" t="n">
        <f aca="false">IF(L43&gt;=0,1,0)</f>
        <v>0</v>
      </c>
      <c r="M52" s="30" t="n">
        <f aca="false">IF(M43&gt;=0,1,0)</f>
        <v>0</v>
      </c>
      <c r="N52" s="30" t="n">
        <f aca="false">IF(N43&gt;=0,1,0)</f>
        <v>0</v>
      </c>
      <c r="O52" s="30" t="n">
        <f aca="false">IF(O43&gt;=0,1,0)</f>
        <v>0</v>
      </c>
      <c r="P52" s="30" t="n">
        <f aca="false">IF(P43&gt;=0,1,0)</f>
        <v>0</v>
      </c>
      <c r="Q52" s="30" t="n">
        <f aca="false">IF(Q43&gt;=0,1,0)</f>
        <v>0</v>
      </c>
      <c r="R52" s="30" t="n">
        <f aca="false">IF(R43&gt;=0,1,0)</f>
        <v>0</v>
      </c>
      <c r="S52" s="30" t="n">
        <f aca="false">IF(S43&gt;=0,1,0)</f>
        <v>0</v>
      </c>
      <c r="T52" s="30" t="n">
        <f aca="false">IF(T43&gt;=0,1,0)</f>
        <v>0</v>
      </c>
      <c r="U52" s="30" t="n">
        <f aca="false">IF(U43&gt;=0,1,0)</f>
        <v>1</v>
      </c>
      <c r="V52" s="30" t="n">
        <f aca="false">IF(V43&gt;=0,1,0)</f>
        <v>1</v>
      </c>
      <c r="W52" s="30" t="n">
        <f aca="false">IF(W43&gt;=0,1,0)</f>
        <v>1</v>
      </c>
      <c r="X52" s="30" t="n">
        <f aca="false">IF(X43&gt;=0,1,0)</f>
        <v>1</v>
      </c>
      <c r="Y52" s="30" t="n">
        <f aca="false">IF(Y43&gt;=0,1,0)</f>
        <v>1</v>
      </c>
      <c r="Z52" s="30" t="n">
        <f aca="false">IF(Z43&gt;=0,1,0)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2026-10-06T02:58:21Z</dcterms:created>
  <dc:creator>openpyxl</dc:creator>
  <dc:description/>
  <dc:language>en-US</dc:language>
  <cp:lastModifiedBy/>
  <dcterms:modified xsi:type="dcterms:W3CDTF">2026-10-08T06:32:14Z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